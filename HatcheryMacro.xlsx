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Laymon_1/Desktop/"/>
    </mc:Choice>
  </mc:AlternateContent>
  <xr:revisionPtr revIDLastSave="0" documentId="8_{207BE8E3-5F8D-AB45-85D7-F62ACD7BA942}" xr6:coauthVersionLast="47" xr6:coauthVersionMax="47" xr10:uidLastSave="{00000000-0000-0000-0000-000000000000}"/>
  <bookViews>
    <workbookView xWindow="1080" yWindow="1160" windowWidth="27640" windowHeight="16660" xr2:uid="{86EB83EB-E86F-594D-B5C6-CEC27E0A4B8D}"/>
  </bookViews>
  <sheets>
    <sheet name="Genus ALL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47" i="1" l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AE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AE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180" i="1" l="1"/>
  <c r="P90" i="1"/>
  <c r="Q27" i="1" l="1"/>
  <c r="Q26" i="1"/>
  <c r="P26" i="1"/>
  <c r="AS27" i="1"/>
  <c r="AP27" i="1"/>
  <c r="AM27" i="1"/>
  <c r="AJ27" i="1"/>
  <c r="AG27" i="1"/>
  <c r="AD27" i="1"/>
  <c r="AA27" i="1"/>
  <c r="X27" i="1"/>
  <c r="V27" i="1"/>
  <c r="T27" i="1"/>
  <c r="R27" i="1"/>
  <c r="P27" i="1"/>
  <c r="AU26" i="1"/>
  <c r="AK26" i="1"/>
  <c r="AQ27" i="1"/>
  <c r="AH27" i="1"/>
  <c r="AB27" i="1"/>
  <c r="U27" i="1"/>
  <c r="AH26" i="1"/>
  <c r="Z26" i="1"/>
  <c r="AO27" i="1"/>
  <c r="AI27" i="1"/>
  <c r="AC27" i="1"/>
  <c r="S27" i="1"/>
  <c r="AR26" i="1"/>
  <c r="AL26" i="1"/>
  <c r="AF26" i="1"/>
  <c r="AA26" i="1"/>
  <c r="X26" i="1"/>
  <c r="U26" i="1"/>
  <c r="R26" i="1"/>
  <c r="AS26" i="1"/>
  <c r="AQ26" i="1"/>
  <c r="AO26" i="1"/>
  <c r="AM26" i="1"/>
  <c r="AI26" i="1"/>
  <c r="AN27" i="1"/>
  <c r="AE27" i="1"/>
  <c r="W27" i="1"/>
  <c r="AP26" i="1"/>
  <c r="W26" i="1"/>
  <c r="AG26" i="1"/>
  <c r="AE26" i="1"/>
  <c r="AC26" i="1"/>
  <c r="AV27" i="1"/>
  <c r="AT27" i="1"/>
  <c r="AR27" i="1"/>
  <c r="AL27" i="1"/>
  <c r="AF27" i="1"/>
  <c r="AV26" i="1"/>
  <c r="AN26" i="1"/>
  <c r="AJ26" i="1"/>
  <c r="AB26" i="1"/>
  <c r="Y26" i="1"/>
  <c r="V26" i="1"/>
  <c r="S26" i="1"/>
  <c r="Z27" i="1"/>
  <c r="AU27" i="1"/>
  <c r="AK27" i="1"/>
  <c r="Y27" i="1"/>
  <c r="AT26" i="1"/>
  <c r="AD26" i="1"/>
  <c r="T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tc={5EF53801-9D1F-A546-A81C-9316AE13A40E}</author>
    <author>tc={92DEA629-041C-8240-A7E0-D2B0ADF377D4}</author>
    <author>tc={A8E3E5C9-CAA2-164A-81A9-2EB44A857D16}</author>
    <author>tc={3ECB73C8-24ED-E645-B594-23A2B31DE611}</author>
    <author>tc={D690CD86-4DA4-AF4A-8EE4-957A5E044540}</author>
    <author>tc={7841FC44-B95B-2346-8555-61FBA250F24D}</author>
    <author>tc={2F2C98BB-6A5A-F948-8ACD-C18F201E90FE}</author>
    <author>tc={2D1E80D4-6A26-3141-8C6A-55D12AE357AF}</author>
    <author>tc={A3E65D01-4B6C-F043-BE33-C99600650DFF}</author>
  </authors>
  <commentList>
    <comment ref="I152" authorId="0" shapeId="0" xr:uid="{5EF53801-9D1F-A546-A81C-9316AE13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cant read this</t>
      </text>
    </comment>
    <comment ref="I153" authorId="1" shapeId="0" xr:uid="{92DEA629-041C-8240-A7E0-D2B0ADF377D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cant read this</t>
      </text>
    </comment>
    <comment ref="I154" authorId="2" shapeId="0" xr:uid="{A8E3E5C9-CAA2-164A-81A9-2EB44A857D16}">
      <text>
        <t>[Threaded comment]
Your version of Excel allows you to read this threaded comment; however, any edits to it will get removed if the file is opened in a newer version of Excel. Learn more: https://go.microsoft.com/fwlink/?linkid=870924
Comment:
    cant read this</t>
      </text>
    </comment>
    <comment ref="K191" authorId="3" shapeId="0" xr:uid="{3ECB73C8-24ED-E645-B594-23A2B31DE611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TEN, ERROR</t>
      </text>
    </comment>
    <comment ref="K192" authorId="4" shapeId="0" xr:uid="{D690CD86-4DA4-AF4A-8EE4-957A5E044540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TEN, ERROR</t>
      </text>
    </comment>
    <comment ref="K193" authorId="5" shapeId="0" xr:uid="{7841FC44-B95B-2346-8555-61FBA250F24D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TEN, ERROR</t>
      </text>
    </comment>
    <comment ref="K200" authorId="6" shapeId="0" xr:uid="{2F2C98BB-6A5A-F948-8ACD-C18F201E90FE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TEN, ERROR</t>
      </text>
    </comment>
    <comment ref="K201" authorId="7" shapeId="0" xr:uid="{2D1E80D4-6A26-3141-8C6A-55D12AE357AF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TEN, ERROR</t>
      </text>
    </comment>
    <comment ref="K202" authorId="8" shapeId="0" xr:uid="{A3E65D01-4B6C-F043-BE33-C99600650DFF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 TEN, ERROR</t>
      </text>
    </comment>
  </commentList>
</comments>
</file>

<file path=xl/sharedStrings.xml><?xml version="1.0" encoding="utf-8"?>
<sst xmlns="http://schemas.openxmlformats.org/spreadsheetml/2006/main" count="743" uniqueCount="254">
  <si>
    <t>Sample</t>
  </si>
  <si>
    <t>Treatment</t>
  </si>
  <si>
    <t>Pond</t>
  </si>
  <si>
    <t>Date</t>
  </si>
  <si>
    <t>Replicate</t>
  </si>
  <si>
    <t>Date inundated</t>
  </si>
  <si>
    <t>Days inundated</t>
  </si>
  <si>
    <t>Interval</t>
  </si>
  <si>
    <t>Temperature (C)</t>
  </si>
  <si>
    <t>DO (%)</t>
  </si>
  <si>
    <t>DO (mg/L)</t>
  </si>
  <si>
    <t>SPC (us/cm)</t>
  </si>
  <si>
    <t>Cond (us/cm)</t>
  </si>
  <si>
    <t>pH</t>
  </si>
  <si>
    <t>Depth (m)</t>
  </si>
  <si>
    <t>SUM</t>
  </si>
  <si>
    <t xml:space="preserve">Chironominae </t>
  </si>
  <si>
    <t xml:space="preserve">Culicidae </t>
  </si>
  <si>
    <t>Cladocera</t>
  </si>
  <si>
    <t xml:space="preserve">Atrichopogon </t>
  </si>
  <si>
    <t>Gammarus</t>
  </si>
  <si>
    <t>Neotrichia</t>
  </si>
  <si>
    <t>Psorophora</t>
  </si>
  <si>
    <t>Tanypodinae</t>
  </si>
  <si>
    <t>Berosus</t>
  </si>
  <si>
    <t>Gerris</t>
  </si>
  <si>
    <t>Stenelmis</t>
  </si>
  <si>
    <t>Caenis</t>
  </si>
  <si>
    <t>Peltodytes</t>
  </si>
  <si>
    <t>Tropisternus</t>
  </si>
  <si>
    <t>Hemerodromia</t>
  </si>
  <si>
    <t>Tabanus</t>
  </si>
  <si>
    <t>Tipula</t>
  </si>
  <si>
    <t>Isonychia</t>
  </si>
  <si>
    <t>Physidae</t>
  </si>
  <si>
    <t>Belostoma</t>
  </si>
  <si>
    <t xml:space="preserve">Corixidae </t>
  </si>
  <si>
    <t>Pelocoris</t>
  </si>
  <si>
    <t>Notonecta</t>
  </si>
  <si>
    <t>Microvelia</t>
  </si>
  <si>
    <t>Crambidae</t>
  </si>
  <si>
    <t>Enallagma</t>
  </si>
  <si>
    <t>Argia</t>
  </si>
  <si>
    <t>Epitheca</t>
  </si>
  <si>
    <t>Macromia</t>
  </si>
  <si>
    <t>Hydropysche</t>
  </si>
  <si>
    <t>Triaenodes</t>
  </si>
  <si>
    <t>Hydrachnidia</t>
  </si>
  <si>
    <t>P1-1/21/2019-1</t>
  </si>
  <si>
    <t>Temporary</t>
  </si>
  <si>
    <t>Early</t>
  </si>
  <si>
    <t>P1-1/21/2019-2</t>
  </si>
  <si>
    <t>P1-1/21/2019-3</t>
  </si>
  <si>
    <t>P2-1/21/2019-1</t>
  </si>
  <si>
    <t>Permanent</t>
  </si>
  <si>
    <t>P3-1/21/2019-1</t>
  </si>
  <si>
    <t>P3-1/21/2019-2</t>
  </si>
  <si>
    <t>P3-1/21/2019-3</t>
  </si>
  <si>
    <t>P4-1/21/2019-1</t>
  </si>
  <si>
    <t>P4-1/21/2019-2</t>
  </si>
  <si>
    <t>P4-1/21/2019-3</t>
  </si>
  <si>
    <t>P5-1/21/2019-2</t>
  </si>
  <si>
    <t>P5-1/21/2019-3</t>
  </si>
  <si>
    <t>P7-1/21/2019-1</t>
  </si>
  <si>
    <t>P7-1/21/2019-2</t>
  </si>
  <si>
    <t>P7-1/21/2019-3</t>
  </si>
  <si>
    <t>P10-1/21/2019-1</t>
  </si>
  <si>
    <t>P10-1/21/2019-2</t>
  </si>
  <si>
    <t>P10-1/21/2019-3</t>
  </si>
  <si>
    <t>P11-1/21/2019-1</t>
  </si>
  <si>
    <t>P11-1/21/2019-2</t>
  </si>
  <si>
    <t>P11-1/21/2019-3</t>
  </si>
  <si>
    <t>P1-1/28/2020-2</t>
  </si>
  <si>
    <t>P2-1/28/2020-1</t>
  </si>
  <si>
    <t>P2-1/28/2020-2</t>
  </si>
  <si>
    <t>P3-1/28/2020-1</t>
  </si>
  <si>
    <t>P3-1/28/2020-2</t>
  </si>
  <si>
    <t>P3-1/28/2020-3</t>
  </si>
  <si>
    <t>P5-1/28/2019-3</t>
  </si>
  <si>
    <t>P5-1/28/2020-3</t>
  </si>
  <si>
    <t>P7-1/28/2020-3</t>
  </si>
  <si>
    <t>P7-1/28/2020-2</t>
  </si>
  <si>
    <t>P10-1/28/2020-1</t>
  </si>
  <si>
    <t>P10-1/28/2020-2</t>
  </si>
  <si>
    <t>P10-1/28/2020-3</t>
  </si>
  <si>
    <t>P11-1/28/2020-1</t>
  </si>
  <si>
    <t>P11-1/28/2020-2</t>
  </si>
  <si>
    <t>P11-1/28/2020-3</t>
  </si>
  <si>
    <t>P1-2/11/2019-1</t>
  </si>
  <si>
    <t>Mid</t>
  </si>
  <si>
    <t>P1-2/11/2019-2</t>
  </si>
  <si>
    <t>P1-2/11/2019-3</t>
  </si>
  <si>
    <t>P3-2/11/2019-3</t>
  </si>
  <si>
    <t>P5-2/11/2019-1</t>
  </si>
  <si>
    <t>P5-2/11/2019-2</t>
  </si>
  <si>
    <t>P5-2/11/2019-3</t>
  </si>
  <si>
    <t>P11-2/11/2019-2</t>
  </si>
  <si>
    <t>P11-2/11/2019-3</t>
  </si>
  <si>
    <t>P2-2/18/2019-1</t>
  </si>
  <si>
    <t>P2-2/18/2019-2</t>
  </si>
  <si>
    <t>P2-2/18/2019-3</t>
  </si>
  <si>
    <t>P4-2/18/2019-2</t>
  </si>
  <si>
    <t>P7-2/18/2019-1</t>
  </si>
  <si>
    <t>P7-2/18/2019-2</t>
  </si>
  <si>
    <t>P7-2/18/2019-3</t>
  </si>
  <si>
    <t>P10-2/18/2019-2</t>
  </si>
  <si>
    <t>P10-2/18/2019-3</t>
  </si>
  <si>
    <t>P7-3/4/2019-3</t>
  </si>
  <si>
    <t>P11-3/4/2019-1</t>
  </si>
  <si>
    <t>P11-3/4/2019-2</t>
  </si>
  <si>
    <t>P11-3/4/2019-3</t>
  </si>
  <si>
    <t>Late</t>
  </si>
  <si>
    <t>P1-3/24/2019-2</t>
  </si>
  <si>
    <t>P1-3/24/2019-3</t>
  </si>
  <si>
    <t>P2-3/24/2019-2</t>
  </si>
  <si>
    <t>P2-3/24/2019-3</t>
  </si>
  <si>
    <t>P4-3/24/2019-1</t>
  </si>
  <si>
    <t>P4-3/24/2019-2</t>
  </si>
  <si>
    <t>P4-3/24/2019-3</t>
  </si>
  <si>
    <t>P5-3/24/2019-1</t>
  </si>
  <si>
    <t>P5-3/24/2019-2</t>
  </si>
  <si>
    <t>P5-3/24/2019-3</t>
  </si>
  <si>
    <t>P7-3/24/2019-1</t>
  </si>
  <si>
    <t>P7-3/24/2019-2</t>
  </si>
  <si>
    <t>P7-3/24/2019-3</t>
  </si>
  <si>
    <t>P10-3/24/2019-1</t>
  </si>
  <si>
    <t>P10-3/24/2019-2</t>
  </si>
  <si>
    <t>P10-3/24/2019-3</t>
  </si>
  <si>
    <t>P11-3/24/2019-2</t>
  </si>
  <si>
    <t>P1-4/1/2019-2</t>
  </si>
  <si>
    <t>P3-4/1/2019-1</t>
  </si>
  <si>
    <t>.</t>
  </si>
  <si>
    <t>P3-4/1/2019-2</t>
  </si>
  <si>
    <t>P3-4/1/2019-3</t>
  </si>
  <si>
    <t>P5-4/1/2019-1</t>
  </si>
  <si>
    <t>P11-4/1/2019-1</t>
  </si>
  <si>
    <t>P1-4/8/2019-1</t>
  </si>
  <si>
    <t>P5-4/8/2019-3</t>
  </si>
  <si>
    <t>P11-4/8/2019-1</t>
  </si>
  <si>
    <t>P11-4/8/2019-2</t>
  </si>
  <si>
    <t>P1-4/22/2019-3</t>
  </si>
  <si>
    <t>P2-4/22/2019-1</t>
  </si>
  <si>
    <t>P2-4/22/2019-2</t>
  </si>
  <si>
    <t>P2-4/22/2019-3</t>
  </si>
  <si>
    <t>P3-4/22/2019-2</t>
  </si>
  <si>
    <t>P4-4/22/2019-1</t>
  </si>
  <si>
    <t>P4-4/22/2019-2</t>
  </si>
  <si>
    <t>P4-4/22/2019-3</t>
  </si>
  <si>
    <t>P5-4/22/2019-1</t>
  </si>
  <si>
    <t>P5-4/22/2019-3</t>
  </si>
  <si>
    <t>P7-4/22/2019-2</t>
  </si>
  <si>
    <t>P7-4/22/2019-3</t>
  </si>
  <si>
    <t>P10-4/22/2019-1</t>
  </si>
  <si>
    <t>P10-4/22/2019-2</t>
  </si>
  <si>
    <t>P10-4/22/2019-3</t>
  </si>
  <si>
    <t>P11-4/22/2019-1</t>
  </si>
  <si>
    <t>P11-4/22/2019-2</t>
  </si>
  <si>
    <t>P11-4/22/2019-3</t>
  </si>
  <si>
    <t>P1-5/9/2019-1</t>
  </si>
  <si>
    <t>P1-5/9/2019-2</t>
  </si>
  <si>
    <t>P1-5/9/2019-3</t>
  </si>
  <si>
    <t>P3-5/9/2019-1</t>
  </si>
  <si>
    <t>P3-5/9/2019-2</t>
  </si>
  <si>
    <t>P3-5/9/2019-3</t>
  </si>
  <si>
    <t>P5-5/9/2019-2</t>
  </si>
  <si>
    <t>P5-5/9/2019-3</t>
  </si>
  <si>
    <t>P11-5/9/2019-1</t>
  </si>
  <si>
    <t>P11-5/9/2019-2</t>
  </si>
  <si>
    <t>P11-5/9/2019-3</t>
  </si>
  <si>
    <t>P1-5/13/2019-1</t>
  </si>
  <si>
    <t>P1-5/13/2019-2</t>
  </si>
  <si>
    <t>P1-5/13/2019-3</t>
  </si>
  <si>
    <t>P2-5/13/2019-1</t>
  </si>
  <si>
    <t>P2-5/13/2019-2</t>
  </si>
  <si>
    <t>P2-5/13/2019-3</t>
  </si>
  <si>
    <t>P3-5/13/2019-2</t>
  </si>
  <si>
    <t>P3-5/13/2019-3</t>
  </si>
  <si>
    <t>P4-5/13/2019-1</t>
  </si>
  <si>
    <t>P4-5/13/2019-2</t>
  </si>
  <si>
    <t>P4-5/13/2019-3</t>
  </si>
  <si>
    <t>P5-5/13/2019-1</t>
  </si>
  <si>
    <t>P5-5/13/2019-2</t>
  </si>
  <si>
    <t>P5-5/13/2019-3</t>
  </si>
  <si>
    <t>P7-5/13/2019-1</t>
  </si>
  <si>
    <t>P7-5/13/2019-2</t>
  </si>
  <si>
    <t>P7-5/13/2019-3</t>
  </si>
  <si>
    <t>P10-5/13/2019-1</t>
  </si>
  <si>
    <t>P10-5/13/2019-2</t>
  </si>
  <si>
    <t>P10-5/13/2019-3</t>
  </si>
  <si>
    <t>P11-5/13/2019-1</t>
  </si>
  <si>
    <t>P11-5/13/2019-3</t>
  </si>
  <si>
    <t>P2-6/17/2019-1</t>
  </si>
  <si>
    <t>P2-6/17/2019-2</t>
  </si>
  <si>
    <t>P2-6/17/2019-3</t>
  </si>
  <si>
    <t>P4-6/17/2019-1</t>
  </si>
  <si>
    <t>P4-6/17/2019-2</t>
  </si>
  <si>
    <t>P4-6/17/2019-3</t>
  </si>
  <si>
    <t>P7-6/17/2019-1</t>
  </si>
  <si>
    <t>P7-6/17/2019-2</t>
  </si>
  <si>
    <t>P10-6/17/2019-1</t>
  </si>
  <si>
    <t>P10-6/17/2019-2</t>
  </si>
  <si>
    <t>P10-6/17/2019-3</t>
  </si>
  <si>
    <t>P2-7/29/2019-2</t>
  </si>
  <si>
    <t>P2-7/29/2019-3</t>
  </si>
  <si>
    <t>P7-7/29/2019-1</t>
  </si>
  <si>
    <t>P7-7/29/2019-2</t>
  </si>
  <si>
    <t>P7-7/29/2019-3</t>
  </si>
  <si>
    <t>P10-7/29/2019-1</t>
  </si>
  <si>
    <t>P10-7/29/2019-2</t>
  </si>
  <si>
    <t>P2-8/9/2019-1</t>
  </si>
  <si>
    <t>P2-8/9/2019-2</t>
  </si>
  <si>
    <t>P2-8/9/2019-3</t>
  </si>
  <si>
    <t>P7-8/9/2019-1</t>
  </si>
  <si>
    <t>P7-8/9/2019-2</t>
  </si>
  <si>
    <t>P7-8/9/2019-3</t>
  </si>
  <si>
    <t>P10-8/9/2019-1</t>
  </si>
  <si>
    <t>P10-8/9/2019-2</t>
  </si>
  <si>
    <t>P10-8/9/2019-3</t>
  </si>
  <si>
    <t>P2-9/29/2019-1</t>
  </si>
  <si>
    <t>P2-9/29/2019-2</t>
  </si>
  <si>
    <t>P2-9/29/2019-3</t>
  </si>
  <si>
    <t>P5-9/29/2019-1</t>
  </si>
  <si>
    <t>P5-9/29/2019-2</t>
  </si>
  <si>
    <t>P5-9/29/2019-3</t>
  </si>
  <si>
    <t>P7-9/29/2019-1</t>
  </si>
  <si>
    <t>P7-9/29/2019-2</t>
  </si>
  <si>
    <t>P7-9/29/2019-3</t>
  </si>
  <si>
    <t>P10-9/29/2019-1</t>
  </si>
  <si>
    <t>P10-9/29/2019-2</t>
  </si>
  <si>
    <t>P10-9/29/2019-3</t>
  </si>
  <si>
    <t>P2-10/29/2019-1</t>
  </si>
  <si>
    <t>P2-10/29/2019-2</t>
  </si>
  <si>
    <t>P2-10/29/2019-3</t>
  </si>
  <si>
    <t>P7-10/29/2019-1</t>
  </si>
  <si>
    <t>P7-10/29/2019-2</t>
  </si>
  <si>
    <t>P7-10/29/2019-3</t>
  </si>
  <si>
    <t>P10-10/29/2019-1</t>
  </si>
  <si>
    <t>P10-10/29/2019-2</t>
  </si>
  <si>
    <t>P2-11/22/2019-1</t>
  </si>
  <si>
    <t>P2-11/22/2019-3</t>
  </si>
  <si>
    <t>P7-11/22/2019-1</t>
  </si>
  <si>
    <t>P7-11/22/2019-2</t>
  </si>
  <si>
    <t>P7-11/22/2019-3</t>
  </si>
  <si>
    <t>P10-11/22/2019-1</t>
  </si>
  <si>
    <t>P10-11/22/2019-3</t>
  </si>
  <si>
    <t>P2-12/16/2019-1</t>
  </si>
  <si>
    <t>P2-12/16/2019-2</t>
  </si>
  <si>
    <t>P2-12/16/2019-3</t>
  </si>
  <si>
    <t>P7-12/16/2019-1</t>
  </si>
  <si>
    <t>P7-12/16/2019-2</t>
  </si>
  <si>
    <t>P7-12/16/2019-3</t>
  </si>
  <si>
    <t>P10-12/16/2019-1</t>
  </si>
  <si>
    <t>P10-12/16/2019-2</t>
  </si>
  <si>
    <t>P10-12/16/2019-3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</si>
</sst>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/>
    <xf numFmtId="0" fontId="2" fillId="0" borderId="0" xfId="0" applyFont="1"/>
    <xf numFmtId="0" fontId="1" fillId="0" borderId="3" xfId="0" applyFont="1" applyBorder="1"/>
    <xf numFmtId="0" fontId="1" fillId="0" borderId="4" xfId="0" applyFont="1" applyBorder="1"/>
    <xf numFmtId="1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1" fillId="0" borderId="5" xfId="0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14" fontId="3" fillId="0" borderId="0" xfId="0" applyNumberFormat="1" applyFont="1"/>
    <xf numFmtId="0" fontId="1" fillId="0" borderId="6" xfId="0" applyFont="1" applyBorder="1"/>
    <xf numFmtId="0" fontId="3" fillId="0" borderId="3" xfId="0" applyFont="1" applyBorder="1"/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theme="1"/>
        </top>
        <bottom/>
      </border>
    </dxf>
    <dxf>
      <border outline="0">
        <top style="thin">
          <color rgb="FF000000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Post%20doc/BG%20Hatchery%20Research%20-%20Thesis%20Docs%20/Sergio%20Manuscript/data/Genus_Level_Raw_Data.xlsx" TargetMode="External"/><Relationship Id="rId2" Type="http://schemas.openxmlformats.org/officeDocument/2006/relationships/externalLinkPath" Target="/Users/KelseyLaymon_1/Documents/Post%20doc/BG%20Hatchery%20Research%20-%20Thesis%20Docs%20/Sergio%20Manuscript/data/Genus_Level_Raw_Data.xlsx" TargetMode="External"/><Relationship Id="rId1" Type="http://schemas.openxmlformats.org/officeDocument/2006/relationships/externalLinkPath" Target="/Users/KelseyLaymon_1/Documents/Post%20doc/BG%20Hatchery%20Research%20-%20Thesis%20Docs%20/Sergio%20Manuscript/data/Genus_Level_Raw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ironominae"/>
      <sheetName val="Culicoides"/>
      <sheetName val="Daphnia"/>
      <sheetName val="Atrichopogon"/>
      <sheetName val="Gammarus"/>
      <sheetName val="Neotrichia"/>
      <sheetName val="Psorophora"/>
      <sheetName val="Tanypodinae"/>
      <sheetName val="Berosus"/>
      <sheetName val="Gerris"/>
      <sheetName val="Microcylloepus"/>
      <sheetName val="Caenis"/>
      <sheetName val="Peltodytes"/>
      <sheetName val="Tropisternus"/>
      <sheetName val="Hemerodromia"/>
      <sheetName val="Tabanus"/>
      <sheetName val="Tipula"/>
      <sheetName val="Isonychia"/>
      <sheetName val="Physa"/>
      <sheetName val="Belostoma"/>
      <sheetName val="Hesperocorixa"/>
      <sheetName val="Pelocoris"/>
      <sheetName val="Notonecta"/>
      <sheetName val="Microvelia"/>
      <sheetName val="Parapoynx"/>
      <sheetName val="Enallagma"/>
      <sheetName val="Argia"/>
      <sheetName val="Epitheca"/>
      <sheetName val="Macromia"/>
      <sheetName val="Hydropsyche"/>
      <sheetName val="Triaenodes"/>
      <sheetName val="Hydrachnid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H2">
            <v>3</v>
          </cell>
        </row>
        <row r="3">
          <cell r="G3">
            <v>1</v>
          </cell>
          <cell r="H3">
            <v>14</v>
          </cell>
          <cell r="I3">
            <v>2</v>
          </cell>
          <cell r="J3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ya Henson" id="{9D305413-214E-7741-9DF5-F6E5C9D03156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D785C-30BB-E143-AB93-5D9AD6B25AE1}" name="Table39" displayName="Table39" ref="A1:AV247" totalsRowShown="0" headerRowDxfId="50" dataDxfId="49" tableBorderDxfId="48">
  <autoFilter ref="A1:AV247" xr:uid="{F15F569F-E256-FB4D-B2A6-AF66C822FFA9}"/>
  <sortState xmlns:xlrd2="http://schemas.microsoft.com/office/spreadsheetml/2017/richdata2" ref="A2:AV247">
    <sortCondition ref="D1:D247"/>
  </sortState>
  <tableColumns count="48">
    <tableColumn id="1" xr3:uid="{1D0678F5-E5E9-E74B-9FE2-1088506FD12A}" name="Sample" dataDxfId="47"/>
    <tableColumn id="2" xr3:uid="{640FB44F-EBE4-1644-B78B-9D63FFCB2470}" name="Treatment" dataDxfId="46"/>
    <tableColumn id="3" xr3:uid="{29B8121C-209C-B34F-8FCB-A3229221745C}" name="Pond" dataDxfId="45"/>
    <tableColumn id="4" xr3:uid="{78A95A49-56DD-B34A-88B8-4740293B4AFC}" name="Date" dataDxfId="44"/>
    <tableColumn id="5" xr3:uid="{B5E6A9EF-70FB-6248-BDB8-54810E0B7A98}" name="Replicate" dataDxfId="43"/>
    <tableColumn id="25" xr3:uid="{3C491F3E-1E48-2B44-9FC0-CD11F08D1A40}" name="Date inundated" dataDxfId="42"/>
    <tableColumn id="26" xr3:uid="{5944F798-B254-434C-8935-AFE377C93B86}" name="Days inundated" dataDxfId="41"/>
    <tableColumn id="28" xr3:uid="{AD4ACB4A-7ECC-354F-A571-052337BCCE84}" name="Interval" dataDxfId="40"/>
    <tableColumn id="45" xr3:uid="{8B3D8644-5C06-BA49-8A68-884A8E784CBD}" name="Temperature (C)" dataDxfId="39"/>
    <tableColumn id="46" xr3:uid="{62E723F2-5CD5-C54D-8B1A-993166F6AB2E}" name="DO (%)" dataDxfId="38"/>
    <tableColumn id="47" xr3:uid="{F0A994BA-1115-DC47-8AC4-3A027834814B}" name="DO (mg/L)" dataDxfId="37"/>
    <tableColumn id="48" xr3:uid="{99C30F23-B7F8-D54C-B8CD-9AEAABF6391B}" name="SPC (us/cm)" dataDxfId="36"/>
    <tableColumn id="34" xr3:uid="{65CC3BB8-E5CB-9845-A9AB-9C2E6EB1F78A}" name="Cond (us/cm)" dataDxfId="35"/>
    <tableColumn id="50" xr3:uid="{718005F0-30B2-634D-A122-65EFAF154BBF}" name="pH" dataDxfId="34"/>
    <tableColumn id="49" xr3:uid="{E0E8CD47-862C-AE43-A581-45AAF883D3BC}" name="Depth (m)" dataDxfId="33"/>
    <tableColumn id="43" xr3:uid="{36CE96ED-7F68-5D48-9C3A-9400014EFF72}" name="SUM" dataDxfId="32">
      <calculatedColumnFormula>SUM(Table39[[#This Row],[Chironominae ]:[Hydrachnidia]])</calculatedColumnFormula>
    </tableColumn>
    <tableColumn id="6" xr3:uid="{68CB06B8-2906-EE46-8B2A-6581A6826C16}" name="Chironominae " dataDxfId="31"/>
    <tableColumn id="11" xr3:uid="{EF9C0786-4CBB-6D4E-9FAE-960AC7054F26}" name="Culicidae " dataDxfId="30"/>
    <tableColumn id="12" xr3:uid="{64400FB2-A947-CD4C-A441-9571CB51C25B}" name="Cladocera" dataDxfId="29"/>
    <tableColumn id="7" xr3:uid="{EB486300-9A56-904F-9550-49494FF7E7E6}" name="Atrichopogon " dataDxfId="28"/>
    <tableColumn id="8" xr3:uid="{1C325A3E-B13F-B145-B3A6-175E3D96CF07}" name="Gammarus" dataDxfId="27"/>
    <tableColumn id="9" xr3:uid="{B0071380-4470-1A47-BB5D-28D8527D81AC}" name="Neotrichia" dataDxfId="26"/>
    <tableColumn id="10" xr3:uid="{9784B935-322D-894C-A8BB-B55F7D9E98D7}" name="Psorophora" dataDxfId="25"/>
    <tableColumn id="13" xr3:uid="{C15A4344-D2B2-2F47-89CE-B5162417B237}" name="Tanypodinae" dataDxfId="24"/>
    <tableColumn id="14" xr3:uid="{0932506C-DFF4-4F46-BC6C-F0160A269C19}" name="Berosus" dataDxfId="23"/>
    <tableColumn id="15" xr3:uid="{AD0DF485-C66B-C04F-9829-76358D871009}" name="Gerris" dataDxfId="22"/>
    <tableColumn id="16" xr3:uid="{B008D150-02CF-2E4A-A741-4787398AC50F}" name="Stenelmis" dataDxfId="21"/>
    <tableColumn id="17" xr3:uid="{D950A354-AE0A-744B-98A1-84E1E9D98FCC}" name="Caenis" dataDxfId="20"/>
    <tableColumn id="18" xr3:uid="{0BA8A0DF-88B5-294D-995D-EB18B91D5708}" name="Peltodytes" dataDxfId="19"/>
    <tableColumn id="19" xr3:uid="{F38A7770-72C3-C04A-8FFB-855BFF403B44}" name="Tropisternus" dataDxfId="18"/>
    <tableColumn id="20" xr3:uid="{730A4578-A481-0443-A8C7-D7FA49A589C1}" name="Hemerodromia" dataDxfId="17"/>
    <tableColumn id="21" xr3:uid="{0B9CFB39-14B3-504B-8528-C8249F76A25A}" name="Tabanus" dataDxfId="16"/>
    <tableColumn id="22" xr3:uid="{18C46517-C986-3E47-B2C3-52DD5FAB422A}" name="Tipula" dataDxfId="15"/>
    <tableColumn id="23" xr3:uid="{468F586A-E4B2-7142-83E7-DBEB59AAD725}" name="Isonychia" dataDxfId="14"/>
    <tableColumn id="24" xr3:uid="{BF4DE499-F043-A046-A607-362F8A787AE5}" name="Physidae" dataDxfId="13"/>
    <tableColumn id="27" xr3:uid="{646C8852-743A-BC4F-8A12-1997605D3705}" name="Belostoma" dataDxfId="12"/>
    <tableColumn id="29" xr3:uid="{A3E612D6-679E-9D4E-A47F-0804C9106134}" name="Corixidae " dataDxfId="11"/>
    <tableColumn id="30" xr3:uid="{07DB9B79-3332-344D-9788-7310FE289B8A}" name="Pelocoris" dataDxfId="10"/>
    <tableColumn id="31" xr3:uid="{02BDF118-E662-6443-BBCE-217177336C72}" name="Notonecta" dataDxfId="9"/>
    <tableColumn id="32" xr3:uid="{866D206E-3750-5649-8E8C-B320492FFF49}" name="Microvelia" dataDxfId="8"/>
    <tableColumn id="33" xr3:uid="{96D4B399-D4E0-244B-B01D-9BAF809C643B}" name="Crambidae" dataDxfId="7"/>
    <tableColumn id="36" xr3:uid="{554215F6-B978-534E-992B-6CF98C346F25}" name="Enallagma" dataDxfId="6"/>
    <tableColumn id="37" xr3:uid="{CDABBB00-A8F0-EC4D-A0C9-0BE94B522392}" name="Argia" dataDxfId="5"/>
    <tableColumn id="38" xr3:uid="{206439B3-7019-0E4E-B74A-F83DD91A78D2}" name="Epitheca" dataDxfId="4"/>
    <tableColumn id="39" xr3:uid="{CC58CDC7-3FFD-0449-9F07-527400CA3B21}" name="Macromia" dataDxfId="3"/>
    <tableColumn id="40" xr3:uid="{66368118-1A0C-5742-838D-B18885310953}" name="Hydropysche" dataDxfId="2"/>
    <tableColumn id="41" xr3:uid="{04966F51-92E8-D447-B7AC-67022C065C7A}" name="Triaenodes" dataDxfId="1"/>
    <tableColumn id="42" xr3:uid="{6C68A1CF-1356-0A46-9A70-6FBF45553211}" name="Hydrachnidi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52" dT="2026-02-11T16:13:38.00" personId="{9D305413-214E-7741-9DF5-F6E5C9D03156}" id="{5EF53801-9D1F-A546-A81C-9316AE13A40E}">
    <text>cant read this</text>
  </threadedComment>
  <threadedComment ref="I153" dT="2026-02-11T16:13:38.00" personId="{9D305413-214E-7741-9DF5-F6E5C9D03156}" id="{92DEA629-041C-8240-A7E0-D2B0ADF377D4}">
    <text>cant read this</text>
  </threadedComment>
  <threadedComment ref="I154" dT="2026-02-11T16:13:38.00" personId="{9D305413-214E-7741-9DF5-F6E5C9D03156}" id="{A8E3E5C9-CAA2-164A-81A9-2EB44A857D16}">
    <text>cant read this</text>
  </threadedComment>
  <threadedComment ref="K191" dT="2026-02-16T18:30:03.00" personId="{9D305413-214E-7741-9DF5-F6E5C9D03156}" id="{3ECB73C8-24ED-E645-B594-23A2B31DE611}">
    <text>OVER TEN, ERROR</text>
  </threadedComment>
  <threadedComment ref="K192" dT="2026-02-16T18:30:03.00" personId="{9D305413-214E-7741-9DF5-F6E5C9D03156}" id="{D690CD86-4DA4-AF4A-8EE4-957A5E044540}">
    <text>OVER TEN, ERROR</text>
  </threadedComment>
  <threadedComment ref="K193" dT="2026-02-16T18:30:03.00" personId="{9D305413-214E-7741-9DF5-F6E5C9D03156}" id="{7841FC44-B95B-2346-8555-61FBA250F24D}">
    <text>OVER TEN, ERROR</text>
  </threadedComment>
  <threadedComment ref="K200" dT="2026-02-16T18:33:50.00" personId="{9D305413-214E-7741-9DF5-F6E5C9D03156}" id="{2F2C98BB-6A5A-F948-8ACD-C18F201E90FE}">
    <text>OVER TEN, ERROR</text>
  </threadedComment>
  <threadedComment ref="K201" dT="2026-02-16T18:33:50.00" personId="{9D305413-214E-7741-9DF5-F6E5C9D03156}" id="{2D1E80D4-6A26-3141-8C6A-55D12AE357AF}">
    <text>OVER TEN, ERROR</text>
  </threadedComment>
  <threadedComment ref="K202" dT="2026-02-16T18:33:50.00" personId="{9D305413-214E-7741-9DF5-F6E5C9D03156}" id="{A3E65D01-4B6C-F043-BE33-C99600650DFF}">
    <text>OVER TEN, ERROR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394A-FC8E-4C43-A376-E941909F5084}">
  <dimension ref="A1:AV247"/>
  <sheetViews>
    <sheetView tabSelected="1" topLeftCell="A58" zoomScale="131" zoomScaleNormal="130" workbookViewId="0">
      <selection activeCell="A71" sqref="A71:D77"/>
    </sheetView>
  </sheetViews>
  <sheetFormatPr baseColWidth="10" defaultRowHeight="16" x14ac:dyDescent="0.2"/>
  <cols>
    <col min="1" max="1" width="16.6640625" style="10" customWidth="1"/>
    <col min="2" max="2" width="10.5" style="8" customWidth="1"/>
    <col min="3" max="3" width="6.33203125" style="4" customWidth="1"/>
    <col min="4" max="4" width="12.1640625" style="7" customWidth="1"/>
    <col min="5" max="5" width="6.33203125" style="4" customWidth="1"/>
    <col min="6" max="6" width="11.1640625" style="4" customWidth="1"/>
    <col min="7" max="8" width="6.33203125" style="4" customWidth="1"/>
    <col min="9" max="9" width="10.33203125" style="8" customWidth="1"/>
    <col min="10" max="10" width="8.83203125" style="8" customWidth="1"/>
    <col min="11" max="11" width="8.1640625" style="8" customWidth="1"/>
    <col min="12" max="12" width="7.5" style="8" customWidth="1"/>
    <col min="13" max="13" width="8.6640625" style="8" customWidth="1"/>
    <col min="14" max="15" width="7.83203125" style="8" customWidth="1"/>
    <col min="16" max="16" width="10.83203125" style="8" customWidth="1"/>
    <col min="17" max="43" width="10.83203125" style="4" customWidth="1"/>
    <col min="44" max="16384" width="10.83203125" style="4"/>
  </cols>
  <sheetData>
    <row r="1" spans="1:4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2">
      <c r="A2" s="5" t="s">
        <v>48</v>
      </c>
      <c r="B2" s="6" t="s">
        <v>49</v>
      </c>
      <c r="C2" s="6">
        <v>1</v>
      </c>
      <c r="D2" s="7">
        <v>43486</v>
      </c>
      <c r="E2" s="8">
        <v>1</v>
      </c>
      <c r="F2" s="7">
        <v>43466</v>
      </c>
      <c r="G2" s="8">
        <v>20</v>
      </c>
      <c r="H2" s="8" t="s">
        <v>50</v>
      </c>
      <c r="I2" s="9">
        <v>8.8000000000000007</v>
      </c>
      <c r="J2" s="9">
        <v>84.4</v>
      </c>
      <c r="K2" s="9">
        <v>9.8000000000000007</v>
      </c>
      <c r="L2" s="8">
        <v>166.8</v>
      </c>
      <c r="M2" s="8">
        <v>115.2</v>
      </c>
      <c r="N2" s="9">
        <v>7.19</v>
      </c>
      <c r="O2" s="8">
        <v>0.371</v>
      </c>
      <c r="P2" s="8">
        <f>SUM(Table39[[#This Row],[Chironominae ]:[Hydrachnidia]])</f>
        <v>375</v>
      </c>
      <c r="Q2" s="4">
        <v>27</v>
      </c>
      <c r="R2" s="4">
        <v>2</v>
      </c>
      <c r="S2" s="4">
        <v>299</v>
      </c>
      <c r="T2" s="4">
        <v>1</v>
      </c>
      <c r="U2" s="4">
        <v>32</v>
      </c>
      <c r="V2" s="4">
        <v>1</v>
      </c>
      <c r="W2" s="4">
        <v>2</v>
      </c>
      <c r="X2" s="4">
        <v>9</v>
      </c>
      <c r="Y2" s="4">
        <v>0</v>
      </c>
      <c r="Z2" s="4">
        <v>0</v>
      </c>
      <c r="AA2" s="4">
        <v>2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</row>
    <row r="3" spans="1:48" x14ac:dyDescent="0.2">
      <c r="A3" s="6" t="s">
        <v>51</v>
      </c>
      <c r="B3" s="6" t="s">
        <v>49</v>
      </c>
      <c r="C3" s="6">
        <v>1</v>
      </c>
      <c r="D3" s="7">
        <v>43486</v>
      </c>
      <c r="E3" s="8">
        <v>2</v>
      </c>
      <c r="F3" s="7">
        <v>43466</v>
      </c>
      <c r="G3" s="8">
        <v>20</v>
      </c>
      <c r="H3" s="8" t="s">
        <v>50</v>
      </c>
      <c r="I3" s="9">
        <v>8.8000000000000007</v>
      </c>
      <c r="J3" s="9">
        <v>84.4</v>
      </c>
      <c r="K3" s="9">
        <v>9.8000000000000007</v>
      </c>
      <c r="L3" s="8">
        <v>166.8</v>
      </c>
      <c r="M3" s="8">
        <v>115.2</v>
      </c>
      <c r="N3" s="9">
        <v>7.19</v>
      </c>
      <c r="O3" s="8">
        <v>0.371</v>
      </c>
      <c r="P3" s="8">
        <f>SUM(Table39[[#This Row],[Chironominae ]:[Hydrachnidia]])</f>
        <v>122</v>
      </c>
      <c r="Q3" s="4">
        <v>27</v>
      </c>
      <c r="R3" s="4">
        <v>0</v>
      </c>
      <c r="S3" s="4">
        <v>40</v>
      </c>
      <c r="T3" s="4">
        <v>6</v>
      </c>
      <c r="U3" s="4">
        <v>40</v>
      </c>
      <c r="V3" s="4">
        <v>0</v>
      </c>
      <c r="W3" s="4">
        <v>0</v>
      </c>
      <c r="X3" s="4">
        <v>9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</row>
    <row r="4" spans="1:48" x14ac:dyDescent="0.2">
      <c r="A4" s="6" t="s">
        <v>52</v>
      </c>
      <c r="B4" s="6" t="s">
        <v>49</v>
      </c>
      <c r="C4" s="6">
        <v>1</v>
      </c>
      <c r="D4" s="7">
        <v>43486</v>
      </c>
      <c r="E4" s="8">
        <v>3</v>
      </c>
      <c r="F4" s="7">
        <v>43466</v>
      </c>
      <c r="G4" s="8">
        <v>20</v>
      </c>
      <c r="H4" s="8" t="s">
        <v>50</v>
      </c>
      <c r="I4" s="9">
        <v>8.8000000000000007</v>
      </c>
      <c r="J4" s="9">
        <v>84.4</v>
      </c>
      <c r="K4" s="9">
        <v>9.8000000000000007</v>
      </c>
      <c r="L4" s="8">
        <v>166.8</v>
      </c>
      <c r="M4" s="8">
        <v>115.2</v>
      </c>
      <c r="N4" s="9">
        <v>7.19</v>
      </c>
      <c r="O4" s="8">
        <v>0.371</v>
      </c>
      <c r="P4" s="8">
        <f>SUM(Table39[[#This Row],[Chironominae ]:[Hydrachnidia]])</f>
        <v>39</v>
      </c>
      <c r="Q4" s="4">
        <v>12</v>
      </c>
      <c r="R4" s="4">
        <v>0</v>
      </c>
      <c r="S4" s="4">
        <v>9</v>
      </c>
      <c r="T4" s="4">
        <v>0</v>
      </c>
      <c r="U4" s="4">
        <v>10</v>
      </c>
      <c r="V4" s="4">
        <v>0</v>
      </c>
      <c r="W4" s="4">
        <v>0</v>
      </c>
      <c r="X4" s="4">
        <v>4</v>
      </c>
      <c r="Y4" s="4">
        <v>0</v>
      </c>
      <c r="Z4" s="4">
        <v>0</v>
      </c>
      <c r="AA4" s="4">
        <v>0</v>
      </c>
      <c r="AB4" s="4">
        <v>4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</row>
    <row r="5" spans="1:48" x14ac:dyDescent="0.2">
      <c r="A5" s="10" t="s">
        <v>53</v>
      </c>
      <c r="B5" s="6" t="s">
        <v>54</v>
      </c>
      <c r="C5" s="6">
        <v>2</v>
      </c>
      <c r="D5" s="7">
        <v>43486</v>
      </c>
      <c r="E5" s="8">
        <v>1</v>
      </c>
      <c r="F5" s="7">
        <v>43466</v>
      </c>
      <c r="G5" s="8">
        <v>20</v>
      </c>
      <c r="H5" s="8" t="s">
        <v>50</v>
      </c>
      <c r="I5" s="9">
        <v>11.1</v>
      </c>
      <c r="J5" s="9">
        <v>86.6</v>
      </c>
      <c r="K5" s="9">
        <v>9.5299999999999994</v>
      </c>
      <c r="L5" s="8">
        <v>163.80000000000001</v>
      </c>
      <c r="M5" s="8">
        <v>120.3</v>
      </c>
      <c r="N5" s="9">
        <v>7.12</v>
      </c>
      <c r="O5" s="8">
        <v>0.68</v>
      </c>
      <c r="P5" s="8">
        <f>SUM(Table39[[#This Row],[Chironominae ]:[Hydrachnidia]])</f>
        <v>28</v>
      </c>
      <c r="Q5" s="4">
        <v>13</v>
      </c>
      <c r="R5" s="4">
        <v>0</v>
      </c>
      <c r="S5" s="4">
        <v>5</v>
      </c>
      <c r="T5" s="4">
        <v>0</v>
      </c>
      <c r="U5" s="4">
        <v>0</v>
      </c>
      <c r="V5" s="4">
        <v>0</v>
      </c>
      <c r="W5" s="4">
        <v>0</v>
      </c>
      <c r="X5" s="4">
        <v>6</v>
      </c>
      <c r="Y5" s="4">
        <v>0</v>
      </c>
      <c r="Z5" s="4">
        <v>0</v>
      </c>
      <c r="AA5" s="4">
        <v>0</v>
      </c>
      <c r="AB5" s="4">
        <v>1</v>
      </c>
      <c r="AC5" s="4">
        <v>0</v>
      </c>
      <c r="AD5" s="4">
        <v>0</v>
      </c>
      <c r="AE5" s="4">
        <v>0</v>
      </c>
      <c r="AF5" s="4">
        <v>0</v>
      </c>
      <c r="AG5" s="4">
        <v>1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2</v>
      </c>
      <c r="AS5" s="4">
        <v>0</v>
      </c>
      <c r="AT5" s="4">
        <v>0</v>
      </c>
      <c r="AU5" s="4">
        <v>0</v>
      </c>
      <c r="AV5" s="4">
        <v>0</v>
      </c>
    </row>
    <row r="6" spans="1:48" x14ac:dyDescent="0.2">
      <c r="B6" s="6" t="s">
        <v>54</v>
      </c>
      <c r="C6" s="6">
        <v>2</v>
      </c>
      <c r="D6" s="7">
        <v>43486</v>
      </c>
      <c r="E6" s="8">
        <v>2</v>
      </c>
      <c r="F6" s="7">
        <v>43466</v>
      </c>
      <c r="G6" s="8">
        <v>20</v>
      </c>
      <c r="H6" s="8" t="s">
        <v>50</v>
      </c>
      <c r="I6" s="9">
        <v>11.1</v>
      </c>
      <c r="J6" s="9">
        <v>86.6</v>
      </c>
      <c r="K6" s="9">
        <v>9.5299999999999994</v>
      </c>
      <c r="L6" s="8">
        <v>163.80000000000001</v>
      </c>
      <c r="M6" s="8">
        <v>120.3</v>
      </c>
      <c r="N6" s="9">
        <v>7.12</v>
      </c>
      <c r="O6" s="8">
        <v>0.68</v>
      </c>
      <c r="P6" s="8">
        <f>SUM(Table39[[#This Row],[Chironominae ]:[Hydrachnidia]])</f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</row>
    <row r="7" spans="1:48" x14ac:dyDescent="0.2">
      <c r="A7" s="6"/>
      <c r="B7" s="6" t="s">
        <v>54</v>
      </c>
      <c r="C7" s="6">
        <v>2</v>
      </c>
      <c r="D7" s="7">
        <v>43486</v>
      </c>
      <c r="E7" s="8">
        <v>3</v>
      </c>
      <c r="F7" s="7">
        <v>43466</v>
      </c>
      <c r="G7" s="8">
        <v>20</v>
      </c>
      <c r="H7" s="8" t="s">
        <v>50</v>
      </c>
      <c r="I7" s="9">
        <v>11.1</v>
      </c>
      <c r="J7" s="9">
        <v>86.6</v>
      </c>
      <c r="K7" s="9">
        <v>9.5299999999999994</v>
      </c>
      <c r="L7" s="8">
        <v>163.80000000000001</v>
      </c>
      <c r="M7" s="8">
        <v>120.3</v>
      </c>
      <c r="N7" s="9">
        <v>7.12</v>
      </c>
      <c r="O7" s="8">
        <v>0.68</v>
      </c>
      <c r="P7" s="8">
        <f>SUM(Table39[[#This Row],[Chironominae ]:[Hydrachnidia]])</f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</row>
    <row r="8" spans="1:48" x14ac:dyDescent="0.2">
      <c r="A8" s="6" t="s">
        <v>55</v>
      </c>
      <c r="B8" s="6" t="s">
        <v>49</v>
      </c>
      <c r="C8" s="6">
        <v>3</v>
      </c>
      <c r="D8" s="7">
        <v>43486</v>
      </c>
      <c r="E8" s="8">
        <v>1</v>
      </c>
      <c r="F8" s="7">
        <v>43466</v>
      </c>
      <c r="G8" s="8">
        <v>20</v>
      </c>
      <c r="H8" s="8" t="s">
        <v>50</v>
      </c>
      <c r="I8" s="9">
        <v>10.8</v>
      </c>
      <c r="J8" s="9">
        <v>69.599999999999994</v>
      </c>
      <c r="K8" s="9">
        <v>7.71</v>
      </c>
      <c r="L8" s="8">
        <v>178.8</v>
      </c>
      <c r="M8" s="8">
        <v>130.30000000000001</v>
      </c>
      <c r="N8" s="9">
        <v>6.97</v>
      </c>
      <c r="O8" s="8">
        <v>1.7000000000000001E-2</v>
      </c>
      <c r="P8" s="8">
        <f>SUM(Table39[[#This Row],[Chironominae ]:[Hydrachnidia]])</f>
        <v>83</v>
      </c>
      <c r="Q8" s="4">
        <v>75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6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</row>
    <row r="9" spans="1:48" x14ac:dyDescent="0.2">
      <c r="A9" s="6" t="s">
        <v>56</v>
      </c>
      <c r="B9" s="6" t="s">
        <v>49</v>
      </c>
      <c r="C9" s="6">
        <v>3</v>
      </c>
      <c r="D9" s="7">
        <v>43486</v>
      </c>
      <c r="E9" s="8">
        <v>2</v>
      </c>
      <c r="F9" s="7">
        <v>43466</v>
      </c>
      <c r="G9" s="8">
        <v>20</v>
      </c>
      <c r="H9" s="8" t="s">
        <v>50</v>
      </c>
      <c r="I9" s="9">
        <v>10.8</v>
      </c>
      <c r="J9" s="9">
        <v>69.599999999999994</v>
      </c>
      <c r="K9" s="9">
        <v>7.71</v>
      </c>
      <c r="L9" s="8">
        <v>178.8</v>
      </c>
      <c r="M9" s="8">
        <v>130.30000000000001</v>
      </c>
      <c r="N9" s="9">
        <v>6.97</v>
      </c>
      <c r="O9" s="8">
        <v>1.7000000000000001E-2</v>
      </c>
      <c r="P9" s="8">
        <f>SUM(Table39[[#This Row],[Chironominae ]:[Hydrachnidia]])</f>
        <v>31</v>
      </c>
      <c r="Q9" s="4">
        <v>1</v>
      </c>
      <c r="R9" s="4">
        <v>0</v>
      </c>
      <c r="S9" s="4">
        <v>25</v>
      </c>
      <c r="T9" s="4">
        <v>1</v>
      </c>
      <c r="U9" s="4">
        <v>1</v>
      </c>
      <c r="V9" s="4">
        <v>0</v>
      </c>
      <c r="W9" s="4">
        <v>0</v>
      </c>
      <c r="X9" s="4">
        <v>2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</row>
    <row r="10" spans="1:48" x14ac:dyDescent="0.2">
      <c r="A10" s="10" t="s">
        <v>57</v>
      </c>
      <c r="B10" s="6" t="s">
        <v>49</v>
      </c>
      <c r="C10" s="6">
        <v>3</v>
      </c>
      <c r="D10" s="7">
        <v>43486</v>
      </c>
      <c r="E10" s="8">
        <v>3</v>
      </c>
      <c r="F10" s="7">
        <v>43466</v>
      </c>
      <c r="G10" s="8">
        <v>20</v>
      </c>
      <c r="H10" s="8" t="s">
        <v>50</v>
      </c>
      <c r="I10" s="9">
        <v>10.8</v>
      </c>
      <c r="J10" s="9">
        <v>69.599999999999994</v>
      </c>
      <c r="K10" s="9">
        <v>7.71</v>
      </c>
      <c r="L10" s="8">
        <v>178.8</v>
      </c>
      <c r="M10" s="8">
        <v>130.30000000000001</v>
      </c>
      <c r="N10" s="9">
        <v>6.97</v>
      </c>
      <c r="O10" s="8">
        <v>1.7000000000000001E-2</v>
      </c>
      <c r="P10" s="8">
        <f>SUM(Table39[[#This Row],[Chironominae ]:[Hydrachnidia]])</f>
        <v>361</v>
      </c>
      <c r="Q10" s="4">
        <v>205</v>
      </c>
      <c r="R10" s="4">
        <v>0</v>
      </c>
      <c r="S10" s="4">
        <v>4</v>
      </c>
      <c r="T10" s="4">
        <v>0</v>
      </c>
      <c r="U10" s="4">
        <v>150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</row>
    <row r="11" spans="1:48" x14ac:dyDescent="0.2">
      <c r="A11" s="6" t="s">
        <v>58</v>
      </c>
      <c r="B11" s="6" t="s">
        <v>49</v>
      </c>
      <c r="C11" s="6">
        <v>4</v>
      </c>
      <c r="D11" s="7">
        <v>43486</v>
      </c>
      <c r="E11" s="8">
        <v>1</v>
      </c>
      <c r="F11" s="7">
        <v>43466</v>
      </c>
      <c r="G11" s="8">
        <v>20</v>
      </c>
      <c r="H11" s="8" t="s">
        <v>50</v>
      </c>
      <c r="I11" s="9">
        <v>11.6</v>
      </c>
      <c r="J11" s="9">
        <v>109.3</v>
      </c>
      <c r="K11" s="9">
        <v>11.89</v>
      </c>
      <c r="L11" s="8">
        <v>170.3</v>
      </c>
      <c r="M11" s="8">
        <v>126.7</v>
      </c>
      <c r="N11" s="9">
        <v>7.45</v>
      </c>
      <c r="O11" s="8">
        <v>0.86499999999999999</v>
      </c>
      <c r="P11" s="8">
        <f>SUM(Table39[[#This Row],[Chironominae ]:[Hydrachnidia]])</f>
        <v>26</v>
      </c>
      <c r="Q11" s="4">
        <v>4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3</v>
      </c>
      <c r="Y11" s="4">
        <v>0</v>
      </c>
      <c r="Z11" s="4">
        <v>0</v>
      </c>
      <c r="AA11" s="4">
        <v>0</v>
      </c>
      <c r="AB11" s="4">
        <v>13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5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0</v>
      </c>
      <c r="AV11" s="4">
        <v>0</v>
      </c>
    </row>
    <row r="12" spans="1:48" x14ac:dyDescent="0.2">
      <c r="A12" s="6" t="s">
        <v>59</v>
      </c>
      <c r="B12" s="6" t="s">
        <v>49</v>
      </c>
      <c r="C12" s="6">
        <v>4</v>
      </c>
      <c r="D12" s="7">
        <v>43486</v>
      </c>
      <c r="E12" s="8">
        <v>2</v>
      </c>
      <c r="F12" s="7">
        <v>43466</v>
      </c>
      <c r="G12" s="8">
        <v>20</v>
      </c>
      <c r="H12" s="8" t="s">
        <v>50</v>
      </c>
      <c r="I12" s="9">
        <v>11.6</v>
      </c>
      <c r="J12" s="9">
        <v>109.3</v>
      </c>
      <c r="K12" s="9">
        <v>11.89</v>
      </c>
      <c r="L12" s="8">
        <v>170.3</v>
      </c>
      <c r="M12" s="8">
        <v>126.7</v>
      </c>
      <c r="N12" s="9">
        <v>7.45</v>
      </c>
      <c r="O12" s="8">
        <v>0.86499999999999999</v>
      </c>
      <c r="P12" s="8">
        <f>SUM(Table39[[#This Row],[Chironominae ]:[Hydrachnidia]])</f>
        <v>17</v>
      </c>
      <c r="Q12" s="4">
        <v>3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4</v>
      </c>
      <c r="Y12" s="4">
        <v>0</v>
      </c>
      <c r="Z12" s="4">
        <v>0</v>
      </c>
      <c r="AA12" s="4">
        <v>0</v>
      </c>
      <c r="AB12" s="4">
        <v>7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3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</row>
    <row r="13" spans="1:48" x14ac:dyDescent="0.2">
      <c r="A13" s="10" t="s">
        <v>60</v>
      </c>
      <c r="B13" s="6" t="s">
        <v>49</v>
      </c>
      <c r="C13" s="6">
        <v>4</v>
      </c>
      <c r="D13" s="7">
        <v>43486</v>
      </c>
      <c r="E13" s="8">
        <v>3</v>
      </c>
      <c r="F13" s="7">
        <v>43466</v>
      </c>
      <c r="G13" s="8">
        <v>20</v>
      </c>
      <c r="H13" s="8" t="s">
        <v>50</v>
      </c>
      <c r="I13" s="9">
        <v>11.6</v>
      </c>
      <c r="J13" s="9">
        <v>109.3</v>
      </c>
      <c r="K13" s="9">
        <v>11.89</v>
      </c>
      <c r="L13" s="8">
        <v>170.3</v>
      </c>
      <c r="M13" s="8">
        <v>126.7</v>
      </c>
      <c r="N13" s="9">
        <v>7.45</v>
      </c>
      <c r="O13" s="8">
        <v>0.86499999999999999</v>
      </c>
      <c r="P13" s="8">
        <f>SUM(Table39[[#This Row],[Chironominae ]:[Hydrachnidia]])</f>
        <v>98</v>
      </c>
      <c r="Q13" s="4">
        <v>46</v>
      </c>
      <c r="R13" s="4">
        <v>0</v>
      </c>
      <c r="S13" s="4">
        <v>27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21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3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</row>
    <row r="14" spans="1:48" x14ac:dyDescent="0.2">
      <c r="A14" s="6"/>
      <c r="B14" s="6" t="s">
        <v>49</v>
      </c>
      <c r="C14" s="6">
        <v>5</v>
      </c>
      <c r="D14" s="7">
        <v>43486</v>
      </c>
      <c r="E14" s="8">
        <v>1</v>
      </c>
      <c r="F14" s="7">
        <v>43466</v>
      </c>
      <c r="G14" s="8">
        <v>20</v>
      </c>
      <c r="H14" s="8" t="s">
        <v>50</v>
      </c>
      <c r="I14" s="9">
        <v>9.6999999999999993</v>
      </c>
      <c r="J14" s="9">
        <v>76.900000000000006</v>
      </c>
      <c r="K14" s="9">
        <v>8.74</v>
      </c>
      <c r="L14" s="8">
        <v>153.9</v>
      </c>
      <c r="M14" s="8">
        <v>109</v>
      </c>
      <c r="N14" s="9">
        <v>7.43</v>
      </c>
      <c r="O14" s="8">
        <v>0.48799999999999999</v>
      </c>
      <c r="P14" s="8">
        <f>SUM(Table39[[#This Row],[Chironominae ]:[Hydrachnidia]])</f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</row>
    <row r="15" spans="1:48" x14ac:dyDescent="0.2">
      <c r="A15" s="10" t="s">
        <v>61</v>
      </c>
      <c r="B15" s="6" t="s">
        <v>49</v>
      </c>
      <c r="C15" s="6">
        <v>5</v>
      </c>
      <c r="D15" s="7">
        <v>43486</v>
      </c>
      <c r="E15" s="8">
        <v>2</v>
      </c>
      <c r="F15" s="7">
        <v>43466</v>
      </c>
      <c r="G15" s="8">
        <v>20</v>
      </c>
      <c r="H15" s="8" t="s">
        <v>50</v>
      </c>
      <c r="I15" s="9">
        <v>9.6999999999999993</v>
      </c>
      <c r="J15" s="9">
        <v>76.900000000000006</v>
      </c>
      <c r="K15" s="9">
        <v>8.74</v>
      </c>
      <c r="L15" s="8">
        <v>153.9</v>
      </c>
      <c r="M15" s="8">
        <v>109</v>
      </c>
      <c r="N15" s="9">
        <v>7.43</v>
      </c>
      <c r="O15" s="8">
        <v>0.48799999999999999</v>
      </c>
      <c r="P15" s="8">
        <f>SUM(Table39[[#This Row],[Chironominae ]:[Hydrachnidia]])</f>
        <v>244</v>
      </c>
      <c r="Q15" s="4">
        <v>48</v>
      </c>
      <c r="R15" s="4">
        <v>30</v>
      </c>
      <c r="S15" s="4">
        <v>93</v>
      </c>
      <c r="T15" s="4">
        <v>2</v>
      </c>
      <c r="U15" s="4">
        <v>16</v>
      </c>
      <c r="V15" s="4">
        <v>0</v>
      </c>
      <c r="W15" s="4">
        <v>1</v>
      </c>
      <c r="X15" s="4">
        <v>1</v>
      </c>
      <c r="Y15" s="4">
        <v>0</v>
      </c>
      <c r="Z15" s="4">
        <v>0</v>
      </c>
      <c r="AA15" s="4">
        <v>30</v>
      </c>
      <c r="AB15" s="4">
        <v>12</v>
      </c>
      <c r="AC15" s="4">
        <v>0</v>
      </c>
      <c r="AD15" s="4">
        <v>0</v>
      </c>
      <c r="AE15" s="4">
        <v>0</v>
      </c>
      <c r="AF15" s="4">
        <v>0</v>
      </c>
      <c r="AG15" s="4">
        <v>3</v>
      </c>
      <c r="AH15" s="4">
        <v>0</v>
      </c>
      <c r="AI15" s="4">
        <v>7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1</v>
      </c>
    </row>
    <row r="16" spans="1:48" x14ac:dyDescent="0.2">
      <c r="A16" s="6" t="s">
        <v>62</v>
      </c>
      <c r="B16" s="6" t="s">
        <v>49</v>
      </c>
      <c r="C16" s="6">
        <v>5</v>
      </c>
      <c r="D16" s="7">
        <v>43486</v>
      </c>
      <c r="E16" s="8">
        <v>3</v>
      </c>
      <c r="F16" s="7">
        <v>43466</v>
      </c>
      <c r="G16" s="8">
        <v>20</v>
      </c>
      <c r="H16" s="8" t="s">
        <v>50</v>
      </c>
      <c r="I16" s="9">
        <v>9.6999999999999993</v>
      </c>
      <c r="J16" s="9">
        <v>76.900000000000006</v>
      </c>
      <c r="K16" s="9">
        <v>8.74</v>
      </c>
      <c r="L16" s="8">
        <v>153.9</v>
      </c>
      <c r="M16" s="8">
        <v>109</v>
      </c>
      <c r="N16" s="9">
        <v>7.43</v>
      </c>
      <c r="O16" s="8">
        <v>0.48799999999999999</v>
      </c>
      <c r="P16" s="8">
        <f>SUM(Table39[[#This Row],[Chironominae ]:[Hydrachnidia]])</f>
        <v>128</v>
      </c>
      <c r="Q16" s="4">
        <v>105</v>
      </c>
      <c r="R16" s="4">
        <v>0</v>
      </c>
      <c r="S16" s="4">
        <v>15</v>
      </c>
      <c r="T16" s="4">
        <v>0</v>
      </c>
      <c r="U16" s="4">
        <v>3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3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</row>
    <row r="17" spans="1:48" x14ac:dyDescent="0.2">
      <c r="A17" s="10" t="s">
        <v>63</v>
      </c>
      <c r="B17" s="6" t="s">
        <v>54</v>
      </c>
      <c r="C17" s="6">
        <v>7</v>
      </c>
      <c r="D17" s="7">
        <v>43486</v>
      </c>
      <c r="E17" s="8">
        <v>1</v>
      </c>
      <c r="F17" s="7">
        <v>43466</v>
      </c>
      <c r="G17" s="8">
        <v>20</v>
      </c>
      <c r="H17" s="8" t="s">
        <v>50</v>
      </c>
      <c r="I17" s="9">
        <v>12.1</v>
      </c>
      <c r="J17" s="9">
        <v>115.6</v>
      </c>
      <c r="K17" s="9">
        <v>12.41</v>
      </c>
      <c r="L17" s="8">
        <v>173.4</v>
      </c>
      <c r="M17" s="8">
        <v>130.9</v>
      </c>
      <c r="N17" s="9">
        <v>7.64</v>
      </c>
      <c r="O17" s="8">
        <v>0.61</v>
      </c>
      <c r="P17" s="8">
        <f>SUM(Table39[[#This Row],[Chironominae ]:[Hydrachnidia]])</f>
        <v>165</v>
      </c>
      <c r="Q17" s="4">
        <v>85</v>
      </c>
      <c r="R17" s="4">
        <v>40</v>
      </c>
      <c r="S17" s="4">
        <v>0</v>
      </c>
      <c r="T17" s="4">
        <v>5</v>
      </c>
      <c r="U17" s="4">
        <v>0</v>
      </c>
      <c r="V17" s="4">
        <v>0</v>
      </c>
      <c r="W17" s="4">
        <v>0</v>
      </c>
      <c r="X17" s="4">
        <v>4</v>
      </c>
      <c r="Y17" s="4">
        <v>0</v>
      </c>
      <c r="Z17" s="4">
        <v>0</v>
      </c>
      <c r="AA17" s="4">
        <v>24</v>
      </c>
      <c r="AB17" s="4">
        <v>5</v>
      </c>
      <c r="AC17" s="4">
        <v>0</v>
      </c>
      <c r="AD17" s="4">
        <v>0</v>
      </c>
      <c r="AE17" s="4">
        <v>0</v>
      </c>
      <c r="AF17" s="4">
        <v>1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</row>
    <row r="18" spans="1:48" x14ac:dyDescent="0.2">
      <c r="A18" s="6" t="s">
        <v>64</v>
      </c>
      <c r="B18" s="6" t="s">
        <v>54</v>
      </c>
      <c r="C18" s="6">
        <v>7</v>
      </c>
      <c r="D18" s="7">
        <v>43486</v>
      </c>
      <c r="E18" s="8">
        <v>2</v>
      </c>
      <c r="F18" s="7">
        <v>43466</v>
      </c>
      <c r="G18" s="8">
        <v>20</v>
      </c>
      <c r="H18" s="8" t="s">
        <v>50</v>
      </c>
      <c r="I18" s="9">
        <v>12.1</v>
      </c>
      <c r="J18" s="9">
        <v>115.6</v>
      </c>
      <c r="K18" s="9">
        <v>12.41</v>
      </c>
      <c r="L18" s="8">
        <v>173.4</v>
      </c>
      <c r="M18" s="8">
        <v>130.9</v>
      </c>
      <c r="N18" s="9">
        <v>7.64</v>
      </c>
      <c r="O18" s="8">
        <v>0.61</v>
      </c>
      <c r="P18" s="8">
        <f>SUM(Table39[[#This Row],[Chironominae ]:[Hydrachnidia]])</f>
        <v>142</v>
      </c>
      <c r="Q18" s="4">
        <v>12</v>
      </c>
      <c r="R18" s="4">
        <v>24</v>
      </c>
      <c r="S18" s="4">
        <v>0</v>
      </c>
      <c r="T18" s="4">
        <v>0</v>
      </c>
      <c r="U18" s="4">
        <v>0</v>
      </c>
      <c r="V18" s="4">
        <v>0</v>
      </c>
      <c r="W18" s="4">
        <v>1</v>
      </c>
      <c r="X18" s="4">
        <v>2</v>
      </c>
      <c r="Y18" s="4">
        <v>1</v>
      </c>
      <c r="Z18" s="4">
        <v>0</v>
      </c>
      <c r="AA18" s="4">
        <v>6</v>
      </c>
      <c r="AB18" s="4">
        <v>94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1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1</v>
      </c>
      <c r="AS18" s="4">
        <v>0</v>
      </c>
      <c r="AT18" s="4">
        <v>0</v>
      </c>
      <c r="AU18" s="4">
        <v>0</v>
      </c>
      <c r="AV18" s="4">
        <v>0</v>
      </c>
    </row>
    <row r="19" spans="1:48" x14ac:dyDescent="0.2">
      <c r="A19" s="10" t="s">
        <v>65</v>
      </c>
      <c r="B19" s="6" t="s">
        <v>54</v>
      </c>
      <c r="C19" s="6">
        <v>7</v>
      </c>
      <c r="D19" s="7">
        <v>43486</v>
      </c>
      <c r="E19" s="8">
        <v>3</v>
      </c>
      <c r="F19" s="7">
        <v>43466</v>
      </c>
      <c r="G19" s="8">
        <v>20</v>
      </c>
      <c r="H19" s="8" t="s">
        <v>50</v>
      </c>
      <c r="I19" s="9">
        <v>12.1</v>
      </c>
      <c r="J19" s="9">
        <v>115.6</v>
      </c>
      <c r="K19" s="9">
        <v>12.41</v>
      </c>
      <c r="L19" s="8">
        <v>173.4</v>
      </c>
      <c r="M19" s="8">
        <v>130.9</v>
      </c>
      <c r="N19" s="9">
        <v>7.64</v>
      </c>
      <c r="O19" s="8">
        <v>0.61</v>
      </c>
      <c r="P19" s="8">
        <f>SUM(Table39[[#This Row],[Chironominae ]:[Hydrachnidia]])</f>
        <v>44</v>
      </c>
      <c r="Q19" s="4">
        <v>16</v>
      </c>
      <c r="R19" s="4">
        <v>6</v>
      </c>
      <c r="S19" s="4">
        <v>0</v>
      </c>
      <c r="T19" s="4">
        <v>0</v>
      </c>
      <c r="U19" s="4">
        <v>0</v>
      </c>
      <c r="V19" s="4">
        <v>1</v>
      </c>
      <c r="W19" s="4">
        <v>0</v>
      </c>
      <c r="X19" s="4">
        <v>2</v>
      </c>
      <c r="Y19" s="4">
        <v>0</v>
      </c>
      <c r="Z19" s="4">
        <v>0</v>
      </c>
      <c r="AA19" s="4">
        <v>11</v>
      </c>
      <c r="AB19" s="4">
        <v>1</v>
      </c>
      <c r="AC19" s="4">
        <v>0</v>
      </c>
      <c r="AD19" s="4">
        <v>0</v>
      </c>
      <c r="AE19" s="4">
        <v>0</v>
      </c>
      <c r="AF19" s="4">
        <v>3</v>
      </c>
      <c r="AG19" s="4">
        <v>0</v>
      </c>
      <c r="AH19" s="4">
        <v>4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</row>
    <row r="20" spans="1:48" x14ac:dyDescent="0.2">
      <c r="A20" s="6" t="s">
        <v>66</v>
      </c>
      <c r="B20" s="6" t="s">
        <v>54</v>
      </c>
      <c r="C20" s="6">
        <v>10</v>
      </c>
      <c r="D20" s="7">
        <v>43486</v>
      </c>
      <c r="E20" s="8">
        <v>1</v>
      </c>
      <c r="F20" s="7">
        <v>43466</v>
      </c>
      <c r="G20" s="8">
        <v>20</v>
      </c>
      <c r="H20" s="8" t="s">
        <v>50</v>
      </c>
      <c r="I20" s="9">
        <v>12.3</v>
      </c>
      <c r="J20" s="9">
        <v>122.3</v>
      </c>
      <c r="K20" s="9">
        <v>13.08</v>
      </c>
      <c r="L20" s="8">
        <v>167.2</v>
      </c>
      <c r="M20" s="8">
        <v>126.7</v>
      </c>
      <c r="N20" s="9">
        <v>7.92</v>
      </c>
      <c r="O20" s="8">
        <v>0.84899999999999998</v>
      </c>
      <c r="P20" s="8">
        <f>SUM(Table39[[#This Row],[Chironominae ]:[Hydrachnidia]])</f>
        <v>280</v>
      </c>
      <c r="Q20" s="4">
        <v>144</v>
      </c>
      <c r="R20" s="4">
        <v>0</v>
      </c>
      <c r="S20" s="4">
        <v>48</v>
      </c>
      <c r="T20" s="4">
        <v>2</v>
      </c>
      <c r="U20" s="4">
        <v>0</v>
      </c>
      <c r="V20" s="4">
        <v>4</v>
      </c>
      <c r="W20" s="4">
        <v>0</v>
      </c>
      <c r="X20" s="4">
        <v>35</v>
      </c>
      <c r="Y20" s="4">
        <v>0</v>
      </c>
      <c r="Z20" s="4">
        <v>0</v>
      </c>
      <c r="AA20" s="4">
        <v>31</v>
      </c>
      <c r="AB20" s="4">
        <v>14</v>
      </c>
      <c r="AC20" s="4">
        <v>0</v>
      </c>
      <c r="AD20" s="4">
        <v>0</v>
      </c>
      <c r="AE20" s="4">
        <v>0</v>
      </c>
      <c r="AF20" s="4">
        <v>1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1</v>
      </c>
      <c r="AS20" s="4">
        <v>0</v>
      </c>
      <c r="AT20" s="4">
        <v>0</v>
      </c>
      <c r="AU20" s="4">
        <v>0</v>
      </c>
      <c r="AV20" s="4">
        <v>0</v>
      </c>
    </row>
    <row r="21" spans="1:48" x14ac:dyDescent="0.2">
      <c r="A21" s="6" t="s">
        <v>67</v>
      </c>
      <c r="B21" s="6" t="s">
        <v>54</v>
      </c>
      <c r="C21" s="6">
        <v>10</v>
      </c>
      <c r="D21" s="7">
        <v>43486</v>
      </c>
      <c r="E21" s="8">
        <v>2</v>
      </c>
      <c r="F21" s="7">
        <v>43466</v>
      </c>
      <c r="G21" s="8">
        <v>20</v>
      </c>
      <c r="H21" s="8" t="s">
        <v>50</v>
      </c>
      <c r="I21" s="9">
        <v>12.3</v>
      </c>
      <c r="J21" s="9">
        <v>122.3</v>
      </c>
      <c r="K21" s="9">
        <v>13.08</v>
      </c>
      <c r="L21" s="8">
        <v>167.2</v>
      </c>
      <c r="M21" s="8">
        <v>126.7</v>
      </c>
      <c r="N21" s="9">
        <v>7.92</v>
      </c>
      <c r="O21" s="8">
        <v>0.84899999999999998</v>
      </c>
      <c r="P21" s="8">
        <f>SUM(Table39[[#This Row],[Chironominae ]:[Hydrachnidia]])</f>
        <v>235</v>
      </c>
      <c r="Q21" s="4">
        <v>99</v>
      </c>
      <c r="R21" s="4">
        <v>0</v>
      </c>
      <c r="S21" s="4">
        <v>66</v>
      </c>
      <c r="T21" s="4">
        <v>0</v>
      </c>
      <c r="U21" s="4">
        <v>7</v>
      </c>
      <c r="V21" s="4">
        <v>15</v>
      </c>
      <c r="W21" s="4">
        <v>0</v>
      </c>
      <c r="X21" s="4">
        <v>29</v>
      </c>
      <c r="Y21" s="4">
        <v>0</v>
      </c>
      <c r="Z21" s="4">
        <v>0</v>
      </c>
      <c r="AA21" s="4">
        <v>0</v>
      </c>
      <c r="AB21" s="4">
        <v>6</v>
      </c>
      <c r="AC21" s="4">
        <v>0</v>
      </c>
      <c r="AD21" s="4">
        <v>0</v>
      </c>
      <c r="AE21" s="4">
        <v>0</v>
      </c>
      <c r="AF21" s="4">
        <v>0</v>
      </c>
      <c r="AG21" s="4">
        <v>7</v>
      </c>
      <c r="AH21" s="4">
        <v>3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1</v>
      </c>
      <c r="AR21" s="4">
        <v>0</v>
      </c>
      <c r="AS21" s="4">
        <v>0</v>
      </c>
      <c r="AT21" s="4">
        <v>0</v>
      </c>
      <c r="AU21" s="4">
        <v>0</v>
      </c>
      <c r="AV21" s="4">
        <v>1</v>
      </c>
    </row>
    <row r="22" spans="1:48" x14ac:dyDescent="0.2">
      <c r="A22" s="6" t="s">
        <v>68</v>
      </c>
      <c r="B22" s="6" t="s">
        <v>54</v>
      </c>
      <c r="C22" s="6">
        <v>10</v>
      </c>
      <c r="D22" s="7">
        <v>43486</v>
      </c>
      <c r="E22" s="8">
        <v>3</v>
      </c>
      <c r="F22" s="7">
        <v>43466</v>
      </c>
      <c r="G22" s="8">
        <v>20</v>
      </c>
      <c r="H22" s="8" t="s">
        <v>50</v>
      </c>
      <c r="I22" s="9">
        <v>12.3</v>
      </c>
      <c r="J22" s="9">
        <v>122.3</v>
      </c>
      <c r="K22" s="9">
        <v>13.08</v>
      </c>
      <c r="L22" s="8">
        <v>167.2</v>
      </c>
      <c r="M22" s="8">
        <v>126.7</v>
      </c>
      <c r="N22" s="9">
        <v>7.92</v>
      </c>
      <c r="O22" s="8">
        <v>0.84899999999999998</v>
      </c>
      <c r="P22" s="8">
        <f>SUM(Table39[[#This Row],[Chironominae ]:[Hydrachnidia]])</f>
        <v>48</v>
      </c>
      <c r="Q22" s="4">
        <v>10</v>
      </c>
      <c r="R22" s="4">
        <v>0</v>
      </c>
      <c r="S22" s="4">
        <v>0</v>
      </c>
      <c r="T22" s="4">
        <v>0</v>
      </c>
      <c r="U22" s="4">
        <v>3</v>
      </c>
      <c r="V22" s="4">
        <v>7</v>
      </c>
      <c r="W22" s="4">
        <v>0</v>
      </c>
      <c r="X22" s="4">
        <v>4</v>
      </c>
      <c r="Y22" s="4">
        <v>0</v>
      </c>
      <c r="Z22" s="4">
        <v>0</v>
      </c>
      <c r="AA22" s="4">
        <v>0</v>
      </c>
      <c r="AB22" s="4">
        <v>24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</row>
    <row r="23" spans="1:48" x14ac:dyDescent="0.2">
      <c r="A23" s="6" t="s">
        <v>69</v>
      </c>
      <c r="B23" s="6" t="s">
        <v>49</v>
      </c>
      <c r="C23" s="6">
        <v>11</v>
      </c>
      <c r="D23" s="7">
        <v>43486</v>
      </c>
      <c r="E23" s="8">
        <v>1</v>
      </c>
      <c r="F23" s="7">
        <v>43466</v>
      </c>
      <c r="G23" s="8">
        <v>20</v>
      </c>
      <c r="H23" s="8" t="s">
        <v>50</v>
      </c>
      <c r="I23" s="9">
        <v>10.3</v>
      </c>
      <c r="J23" s="9">
        <v>77.900000000000006</v>
      </c>
      <c r="K23" s="9">
        <v>8.7200000000000006</v>
      </c>
      <c r="L23" s="8">
        <v>151.69999999999999</v>
      </c>
      <c r="M23" s="8">
        <v>109.1</v>
      </c>
      <c r="N23" s="9">
        <v>7.81</v>
      </c>
      <c r="O23" s="8">
        <v>0.54700000000000004</v>
      </c>
      <c r="P23" s="8">
        <f>SUM(Table39[[#This Row],[Chironominae ]:[Hydrachnidia]])</f>
        <v>58</v>
      </c>
      <c r="Q23" s="4">
        <v>17</v>
      </c>
      <c r="R23" s="4">
        <v>0</v>
      </c>
      <c r="S23" s="4">
        <v>28</v>
      </c>
      <c r="T23" s="4">
        <v>0</v>
      </c>
      <c r="U23" s="4">
        <v>0</v>
      </c>
      <c r="V23" s="4">
        <v>0</v>
      </c>
      <c r="W23" s="4">
        <v>0</v>
      </c>
      <c r="X23" s="4">
        <v>4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9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</row>
    <row r="24" spans="1:48" x14ac:dyDescent="0.2">
      <c r="A24" s="6" t="s">
        <v>70</v>
      </c>
      <c r="B24" s="6" t="s">
        <v>49</v>
      </c>
      <c r="C24" s="6">
        <v>11</v>
      </c>
      <c r="D24" s="7">
        <v>43486</v>
      </c>
      <c r="E24" s="8">
        <v>2</v>
      </c>
      <c r="F24" s="7">
        <v>43466</v>
      </c>
      <c r="G24" s="8">
        <v>20</v>
      </c>
      <c r="H24" s="8" t="s">
        <v>50</v>
      </c>
      <c r="I24" s="9">
        <v>10.3</v>
      </c>
      <c r="J24" s="9">
        <v>77.900000000000006</v>
      </c>
      <c r="K24" s="9">
        <v>8.7200000000000006</v>
      </c>
      <c r="L24" s="8">
        <v>151.69999999999999</v>
      </c>
      <c r="M24" s="8">
        <v>109.1</v>
      </c>
      <c r="N24" s="9">
        <v>7.81</v>
      </c>
      <c r="O24" s="8">
        <v>0.54700000000000004</v>
      </c>
      <c r="P24" s="8">
        <f>SUM(Table39[[#This Row],[Chironominae ]:[Hydrachnidia]])</f>
        <v>63</v>
      </c>
      <c r="Q24" s="4">
        <v>16</v>
      </c>
      <c r="R24" s="4">
        <v>0</v>
      </c>
      <c r="S24" s="4">
        <v>40</v>
      </c>
      <c r="T24" s="4">
        <v>0</v>
      </c>
      <c r="U24" s="4">
        <v>0</v>
      </c>
      <c r="V24" s="4">
        <v>0</v>
      </c>
      <c r="W24" s="4">
        <v>0</v>
      </c>
      <c r="X24" s="4">
        <v>7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</row>
    <row r="25" spans="1:48" x14ac:dyDescent="0.2">
      <c r="A25" s="6" t="s">
        <v>71</v>
      </c>
      <c r="B25" s="6" t="s">
        <v>49</v>
      </c>
      <c r="C25" s="6">
        <v>11</v>
      </c>
      <c r="D25" s="7">
        <v>43486</v>
      </c>
      <c r="E25" s="8">
        <v>3</v>
      </c>
      <c r="F25" s="7">
        <v>43466</v>
      </c>
      <c r="G25" s="8">
        <v>20</v>
      </c>
      <c r="H25" s="8" t="s">
        <v>50</v>
      </c>
      <c r="I25" s="9">
        <v>10.3</v>
      </c>
      <c r="J25" s="9">
        <v>77.900000000000006</v>
      </c>
      <c r="K25" s="9">
        <v>8.7200000000000006</v>
      </c>
      <c r="L25" s="8">
        <v>151.69999999999999</v>
      </c>
      <c r="M25" s="8">
        <v>109.1</v>
      </c>
      <c r="N25" s="9">
        <v>7.81</v>
      </c>
      <c r="O25" s="8">
        <v>0.54700000000000004</v>
      </c>
      <c r="P25" s="8">
        <f>SUM(Table39[[#This Row],[Chironominae ]:[Hydrachnidia]])</f>
        <v>8</v>
      </c>
      <c r="Q25" s="4">
        <v>7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</row>
    <row r="26" spans="1:48" x14ac:dyDescent="0.2">
      <c r="A26" s="6"/>
      <c r="B26" s="6" t="s">
        <v>49</v>
      </c>
      <c r="C26" s="6">
        <v>1</v>
      </c>
      <c r="D26" s="7">
        <v>43493</v>
      </c>
      <c r="E26" s="8">
        <v>1</v>
      </c>
      <c r="F26" s="7">
        <v>43466</v>
      </c>
      <c r="G26" s="8">
        <v>20</v>
      </c>
      <c r="H26" s="8" t="s">
        <v>50</v>
      </c>
      <c r="I26" s="9">
        <v>6.4</v>
      </c>
      <c r="J26" s="9">
        <v>6.8</v>
      </c>
      <c r="K26" s="9">
        <v>0.84</v>
      </c>
      <c r="L26" s="8">
        <v>269.7</v>
      </c>
      <c r="M26" s="8">
        <v>173.9</v>
      </c>
      <c r="N26" s="9">
        <v>7.05</v>
      </c>
      <c r="O26" s="8">
        <v>0.14000000000000001</v>
      </c>
      <c r="P26" s="8">
        <f ca="1">SUM(Table39[[#This Row],[Chironominae ]:[Hydrachnidia]])</f>
        <v>0</v>
      </c>
      <c r="Q26" s="8">
        <f ca="1">SUM(Table39[[#This Row],[Chironominae ]:[Hydrachnidia]])</f>
        <v>0</v>
      </c>
      <c r="R26" s="8">
        <f ca="1">SUM(Table39[[#This Row],[Chironominae ]:[Hydrachnidia]])</f>
        <v>0</v>
      </c>
      <c r="S26" s="8">
        <f ca="1">SUM(Table39[[#This Row],[Chironominae ]:[Hydrachnidia]])</f>
        <v>0</v>
      </c>
      <c r="T26" s="8">
        <f ca="1">SUM(Table39[[#This Row],[Chironominae ]:[Hydrachnidia]])</f>
        <v>0</v>
      </c>
      <c r="U26" s="8">
        <f ca="1">SUM(Table39[[#This Row],[Chironominae ]:[Hydrachnidia]])</f>
        <v>0</v>
      </c>
      <c r="V26" s="8">
        <f ca="1">SUM(Table39[[#This Row],[Chironominae ]:[Hydrachnidia]])</f>
        <v>0</v>
      </c>
      <c r="W26" s="8">
        <f ca="1">SUM(Table39[[#This Row],[Chironominae ]:[Hydrachnidia]])</f>
        <v>0</v>
      </c>
      <c r="X26" s="8">
        <f ca="1">SUM(Table39[[#This Row],[Chironominae ]:[Hydrachnidia]])</f>
        <v>0</v>
      </c>
      <c r="Y26" s="8">
        <f ca="1">SUM(Table39[[#This Row],[Chironominae ]:[Hydrachnidia]])</f>
        <v>0</v>
      </c>
      <c r="Z26" s="8">
        <f ca="1">SUM(Table39[[#This Row],[Chironominae ]:[Hydrachnidia]])</f>
        <v>0</v>
      </c>
      <c r="AA26" s="8">
        <f ca="1">SUM(Table39[[#This Row],[Chironominae ]:[Hydrachnidia]])</f>
        <v>0</v>
      </c>
      <c r="AB26" s="8">
        <f ca="1">SUM(Table39[[#This Row],[Chironominae ]:[Hydrachnidia]])</f>
        <v>0</v>
      </c>
      <c r="AC26" s="8">
        <f ca="1">SUM(Table39[[#This Row],[Chironominae ]:[Hydrachnidia]])</f>
        <v>0</v>
      </c>
      <c r="AD26" s="8">
        <f ca="1">SUM(Table39[[#This Row],[Chironominae ]:[Hydrachnidia]])</f>
        <v>0</v>
      </c>
      <c r="AE26" s="8">
        <f ca="1">SUM(Table39[[#This Row],[Chironominae ]:[Hydrachnidia]])</f>
        <v>0</v>
      </c>
      <c r="AF26" s="8">
        <f ca="1">SUM(Table39[[#This Row],[Chironominae ]:[Hydrachnidia]])</f>
        <v>0</v>
      </c>
      <c r="AG26" s="8">
        <f ca="1">SUM(Table39[[#This Row],[Chironominae ]:[Hydrachnidia]])</f>
        <v>0</v>
      </c>
      <c r="AH26" s="8">
        <f ca="1">SUM(Table39[[#This Row],[Chironominae ]:[Hydrachnidia]])</f>
        <v>0</v>
      </c>
      <c r="AI26" s="8">
        <f ca="1">SUM(Table39[[#This Row],[Chironominae ]:[Hydrachnidia]])</f>
        <v>0</v>
      </c>
      <c r="AJ26" s="8">
        <f ca="1">SUM(Table39[[#This Row],[Chironominae ]:[Hydrachnidia]])</f>
        <v>0</v>
      </c>
      <c r="AK26" s="8">
        <f ca="1">SUM(Table39[[#This Row],[Chironominae ]:[Hydrachnidia]])</f>
        <v>0</v>
      </c>
      <c r="AL26" s="8">
        <f ca="1">SUM(Table39[[#This Row],[Chironominae ]:[Hydrachnidia]])</f>
        <v>0</v>
      </c>
      <c r="AM26" s="8">
        <f ca="1">SUM(Table39[[#This Row],[Chironominae ]:[Hydrachnidia]])</f>
        <v>0</v>
      </c>
      <c r="AN26" s="8">
        <f ca="1">SUM(Table39[[#This Row],[Chironominae ]:[Hydrachnidia]])</f>
        <v>0</v>
      </c>
      <c r="AO26" s="8">
        <f ca="1">SUM(Table39[[#This Row],[Chironominae ]:[Hydrachnidia]])</f>
        <v>0</v>
      </c>
      <c r="AP26" s="8">
        <f ca="1">SUM(Table39[[#This Row],[Chironominae ]:[Hydrachnidia]])</f>
        <v>0</v>
      </c>
      <c r="AQ26" s="8">
        <f ca="1">SUM(Table39[[#This Row],[Chironominae ]:[Hydrachnidia]])</f>
        <v>0</v>
      </c>
      <c r="AR26" s="8">
        <f ca="1">SUM(Table39[[#This Row],[Chironominae ]:[Hydrachnidia]])</f>
        <v>0</v>
      </c>
      <c r="AS26" s="8">
        <f ca="1">SUM(Table39[[#This Row],[Chironominae ]:[Hydrachnidia]])</f>
        <v>0</v>
      </c>
      <c r="AT26" s="8">
        <f ca="1">SUM(Table39[[#This Row],[Chironominae ]:[Hydrachnidia]])</f>
        <v>0</v>
      </c>
      <c r="AU26" s="8">
        <f ca="1">SUM(Table39[[#This Row],[Chironominae ]:[Hydrachnidia]])</f>
        <v>0</v>
      </c>
      <c r="AV26" s="8">
        <f ca="1">SUM(Table39[[#This Row],[Chironominae ]:[Hydrachnidia]])</f>
        <v>0</v>
      </c>
    </row>
    <row r="27" spans="1:48" x14ac:dyDescent="0.2">
      <c r="A27" s="6"/>
      <c r="B27" s="6" t="s">
        <v>49</v>
      </c>
      <c r="C27" s="6">
        <v>1</v>
      </c>
      <c r="D27" s="7">
        <v>43493</v>
      </c>
      <c r="E27" s="8">
        <v>3</v>
      </c>
      <c r="F27" s="7">
        <v>43466</v>
      </c>
      <c r="G27" s="8">
        <v>20</v>
      </c>
      <c r="H27" s="8" t="s">
        <v>50</v>
      </c>
      <c r="I27" s="9">
        <v>6.4</v>
      </c>
      <c r="J27" s="9">
        <v>6.8</v>
      </c>
      <c r="K27" s="9">
        <v>0.84</v>
      </c>
      <c r="L27" s="8">
        <v>269.7</v>
      </c>
      <c r="M27" s="8">
        <v>173.9</v>
      </c>
      <c r="N27" s="9">
        <v>7.05</v>
      </c>
      <c r="O27" s="8">
        <v>0.14000000000000001</v>
      </c>
      <c r="P27" s="8">
        <f ca="1">SUM(Table39[[#This Row],[Chironominae ]:[Hydrachnidia]])</f>
        <v>0</v>
      </c>
      <c r="Q27" s="8">
        <f ca="1">SUM(Table39[[#This Row],[Chironominae ]:[Hydrachnidia]])</f>
        <v>0</v>
      </c>
      <c r="R27" s="8">
        <f ca="1">SUM(Table39[[#This Row],[Chironominae ]:[Hydrachnidia]])</f>
        <v>0</v>
      </c>
      <c r="S27" s="8">
        <f ca="1">SUM(Table39[[#This Row],[Chironominae ]:[Hydrachnidia]])</f>
        <v>0</v>
      </c>
      <c r="T27" s="8">
        <f ca="1">SUM(Table39[[#This Row],[Chironominae ]:[Hydrachnidia]])</f>
        <v>0</v>
      </c>
      <c r="U27" s="8">
        <f ca="1">SUM(Table39[[#This Row],[Chironominae ]:[Hydrachnidia]])</f>
        <v>0</v>
      </c>
      <c r="V27" s="8">
        <f ca="1">SUM(Table39[[#This Row],[Chironominae ]:[Hydrachnidia]])</f>
        <v>0</v>
      </c>
      <c r="W27" s="8">
        <f ca="1">SUM(Table39[[#This Row],[Chironominae ]:[Hydrachnidia]])</f>
        <v>0</v>
      </c>
      <c r="X27" s="8">
        <f ca="1">SUM(Table39[[#This Row],[Chironominae ]:[Hydrachnidia]])</f>
        <v>0</v>
      </c>
      <c r="Y27" s="8">
        <f ca="1">SUM(Table39[[#This Row],[Chironominae ]:[Hydrachnidia]])</f>
        <v>0</v>
      </c>
      <c r="Z27" s="8">
        <f ca="1">SUM(Table39[[#This Row],[Chironominae ]:[Hydrachnidia]])</f>
        <v>0</v>
      </c>
      <c r="AA27" s="8">
        <f ca="1">SUM(Table39[[#This Row],[Chironominae ]:[Hydrachnidia]])</f>
        <v>0</v>
      </c>
      <c r="AB27" s="8">
        <f ca="1">SUM(Table39[[#This Row],[Chironominae ]:[Hydrachnidia]])</f>
        <v>0</v>
      </c>
      <c r="AC27" s="8">
        <f ca="1">SUM(Table39[[#This Row],[Chironominae ]:[Hydrachnidia]])</f>
        <v>0</v>
      </c>
      <c r="AD27" s="8">
        <f ca="1">SUM(Table39[[#This Row],[Chironominae ]:[Hydrachnidia]])</f>
        <v>0</v>
      </c>
      <c r="AE27" s="8">
        <f ca="1">SUM(Table39[[#This Row],[Chironominae ]:[Hydrachnidia]])</f>
        <v>0</v>
      </c>
      <c r="AF27" s="8">
        <f ca="1">SUM(Table39[[#This Row],[Chironominae ]:[Hydrachnidia]])</f>
        <v>0</v>
      </c>
      <c r="AG27" s="8">
        <f ca="1">SUM(Table39[[#This Row],[Chironominae ]:[Hydrachnidia]])</f>
        <v>0</v>
      </c>
      <c r="AH27" s="8">
        <f ca="1">SUM(Table39[[#This Row],[Chironominae ]:[Hydrachnidia]])</f>
        <v>0</v>
      </c>
      <c r="AI27" s="8">
        <f ca="1">SUM(Table39[[#This Row],[Chironominae ]:[Hydrachnidia]])</f>
        <v>0</v>
      </c>
      <c r="AJ27" s="8">
        <f ca="1">SUM(Table39[[#This Row],[Chironominae ]:[Hydrachnidia]])</f>
        <v>0</v>
      </c>
      <c r="AK27" s="8">
        <f ca="1">SUM(Table39[[#This Row],[Chironominae ]:[Hydrachnidia]])</f>
        <v>0</v>
      </c>
      <c r="AL27" s="8">
        <f ca="1">SUM(Table39[[#This Row],[Chironominae ]:[Hydrachnidia]])</f>
        <v>0</v>
      </c>
      <c r="AM27" s="8">
        <f ca="1">SUM(Table39[[#This Row],[Chironominae ]:[Hydrachnidia]])</f>
        <v>0</v>
      </c>
      <c r="AN27" s="8">
        <f ca="1">SUM(Table39[[#This Row],[Chironominae ]:[Hydrachnidia]])</f>
        <v>0</v>
      </c>
      <c r="AO27" s="8">
        <f ca="1">SUM(Table39[[#This Row],[Chironominae ]:[Hydrachnidia]])</f>
        <v>0</v>
      </c>
      <c r="AP27" s="8">
        <f ca="1">SUM(Table39[[#This Row],[Chironominae ]:[Hydrachnidia]])</f>
        <v>0</v>
      </c>
      <c r="AQ27" s="8">
        <f ca="1">SUM(Table39[[#This Row],[Chironominae ]:[Hydrachnidia]])</f>
        <v>0</v>
      </c>
      <c r="AR27" s="8">
        <f ca="1">SUM(Table39[[#This Row],[Chironominae ]:[Hydrachnidia]])</f>
        <v>0</v>
      </c>
      <c r="AS27" s="8">
        <f ca="1">SUM(Table39[[#This Row],[Chironominae ]:[Hydrachnidia]])</f>
        <v>0</v>
      </c>
      <c r="AT27" s="8">
        <f ca="1">SUM(Table39[[#This Row],[Chironominae ]:[Hydrachnidia]])</f>
        <v>0</v>
      </c>
      <c r="AU27" s="8">
        <f ca="1">SUM(Table39[[#This Row],[Chironominae ]:[Hydrachnidia]])</f>
        <v>0</v>
      </c>
      <c r="AV27" s="8">
        <f ca="1">SUM(Table39[[#This Row],[Chironominae ]:[Hydrachnidia]])</f>
        <v>0</v>
      </c>
    </row>
    <row r="28" spans="1:48" x14ac:dyDescent="0.2">
      <c r="A28" s="11" t="s">
        <v>72</v>
      </c>
      <c r="B28" s="6" t="s">
        <v>49</v>
      </c>
      <c r="C28" s="6">
        <v>1</v>
      </c>
      <c r="D28" s="7">
        <v>43493</v>
      </c>
      <c r="E28" s="8">
        <v>2</v>
      </c>
      <c r="F28" s="7">
        <v>43466</v>
      </c>
      <c r="G28" s="8">
        <v>20</v>
      </c>
      <c r="H28" s="8" t="s">
        <v>50</v>
      </c>
      <c r="I28" s="9">
        <v>6.4</v>
      </c>
      <c r="J28" s="9">
        <v>6.8</v>
      </c>
      <c r="K28" s="9">
        <v>0.84</v>
      </c>
      <c r="L28" s="8">
        <v>269.7</v>
      </c>
      <c r="M28" s="8">
        <v>173.9</v>
      </c>
      <c r="N28" s="9">
        <v>7.05</v>
      </c>
      <c r="O28" s="8">
        <v>0.14000000000000001</v>
      </c>
      <c r="P28" s="8">
        <f>SUM(Table39[[#This Row],[Chironominae ]:[Hydrachnidia]])</f>
        <v>672</v>
      </c>
      <c r="Q28" s="4">
        <v>22</v>
      </c>
      <c r="R28" s="4">
        <v>0</v>
      </c>
      <c r="S28" s="4">
        <v>636</v>
      </c>
      <c r="T28" s="4">
        <v>0</v>
      </c>
      <c r="U28" s="4">
        <v>14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</row>
    <row r="29" spans="1:48" x14ac:dyDescent="0.2">
      <c r="A29" s="6" t="s">
        <v>73</v>
      </c>
      <c r="B29" s="6" t="s">
        <v>54</v>
      </c>
      <c r="C29" s="6">
        <v>2</v>
      </c>
      <c r="D29" s="7">
        <v>43493</v>
      </c>
      <c r="E29" s="8">
        <v>1</v>
      </c>
      <c r="F29" s="7">
        <v>43466</v>
      </c>
      <c r="G29" s="8">
        <v>20</v>
      </c>
      <c r="H29" s="8" t="s">
        <v>50</v>
      </c>
      <c r="I29" s="9">
        <v>11.2</v>
      </c>
      <c r="J29" s="9">
        <v>88.6</v>
      </c>
      <c r="K29" s="9">
        <v>9.7200000000000006</v>
      </c>
      <c r="L29" s="8">
        <v>147.6</v>
      </c>
      <c r="M29" s="8">
        <v>108.7</v>
      </c>
      <c r="N29" s="9">
        <v>7.41</v>
      </c>
      <c r="O29" s="8">
        <v>0.70399999999999996</v>
      </c>
      <c r="P29" s="8">
        <f>SUM(Table39[[#This Row],[Chironominae ]:[Hydrachnidia]])</f>
        <v>81</v>
      </c>
      <c r="Q29" s="4">
        <v>40</v>
      </c>
      <c r="R29" s="4">
        <v>7</v>
      </c>
      <c r="S29" s="4">
        <v>0</v>
      </c>
      <c r="T29" s="4">
        <v>0</v>
      </c>
      <c r="U29" s="4">
        <v>0</v>
      </c>
      <c r="V29" s="4">
        <v>2</v>
      </c>
      <c r="W29" s="4">
        <v>0</v>
      </c>
      <c r="X29" s="4">
        <v>2</v>
      </c>
      <c r="Y29" s="4">
        <v>0</v>
      </c>
      <c r="Z29" s="4">
        <v>0</v>
      </c>
      <c r="AA29" s="4">
        <v>7</v>
      </c>
      <c r="AB29" s="4">
        <v>2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20</v>
      </c>
    </row>
    <row r="30" spans="1:48" x14ac:dyDescent="0.2">
      <c r="A30" s="10" t="s">
        <v>74</v>
      </c>
      <c r="B30" s="6" t="s">
        <v>54</v>
      </c>
      <c r="C30" s="6">
        <v>2</v>
      </c>
      <c r="D30" s="7">
        <v>43493</v>
      </c>
      <c r="E30" s="8">
        <v>2</v>
      </c>
      <c r="F30" s="7">
        <v>43466</v>
      </c>
      <c r="G30" s="8">
        <v>20</v>
      </c>
      <c r="H30" s="8" t="s">
        <v>50</v>
      </c>
      <c r="I30" s="9">
        <v>11.2</v>
      </c>
      <c r="J30" s="9">
        <v>88.6</v>
      </c>
      <c r="K30" s="9">
        <v>9.7200000000000006</v>
      </c>
      <c r="L30" s="8">
        <v>147.6</v>
      </c>
      <c r="M30" s="8">
        <v>108.7</v>
      </c>
      <c r="N30" s="9">
        <v>7.41</v>
      </c>
      <c r="O30" s="8">
        <v>0.70399999999999996</v>
      </c>
      <c r="P30" s="8">
        <f>SUM(Table39[[#This Row],[Chironominae ]:[Hydrachnidia]])</f>
        <v>136</v>
      </c>
      <c r="Q30" s="4">
        <v>103</v>
      </c>
      <c r="R30" s="4">
        <v>0</v>
      </c>
      <c r="S30" s="4">
        <v>0</v>
      </c>
      <c r="T30" s="4">
        <v>0</v>
      </c>
      <c r="U30" s="4">
        <v>5</v>
      </c>
      <c r="V30" s="4">
        <v>1</v>
      </c>
      <c r="W30" s="4">
        <v>0</v>
      </c>
      <c r="X30" s="4">
        <v>1</v>
      </c>
      <c r="Y30" s="4">
        <v>0</v>
      </c>
      <c r="Z30" s="4">
        <v>0</v>
      </c>
      <c r="AA30" s="4">
        <v>0</v>
      </c>
      <c r="AB30" s="4">
        <v>7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</v>
      </c>
      <c r="AQ30" s="4">
        <v>1</v>
      </c>
      <c r="AR30" s="4">
        <v>0</v>
      </c>
      <c r="AS30" s="4">
        <v>0</v>
      </c>
      <c r="AT30" s="4">
        <v>0</v>
      </c>
      <c r="AU30" s="4">
        <v>0</v>
      </c>
      <c r="AV30" s="4">
        <v>17</v>
      </c>
    </row>
    <row r="31" spans="1:48" x14ac:dyDescent="0.2">
      <c r="A31" s="6"/>
      <c r="B31" s="6" t="s">
        <v>54</v>
      </c>
      <c r="C31" s="6">
        <v>2</v>
      </c>
      <c r="D31" s="7">
        <v>43493</v>
      </c>
      <c r="E31" s="8">
        <v>3</v>
      </c>
      <c r="F31" s="7">
        <v>43466</v>
      </c>
      <c r="G31" s="8">
        <v>20</v>
      </c>
      <c r="H31" s="8" t="s">
        <v>50</v>
      </c>
      <c r="I31" s="9">
        <v>11.2</v>
      </c>
      <c r="J31" s="9">
        <v>88.6</v>
      </c>
      <c r="K31" s="9">
        <v>9.7200000000000006</v>
      </c>
      <c r="L31" s="8">
        <v>147.6</v>
      </c>
      <c r="M31" s="8">
        <v>108.7</v>
      </c>
      <c r="N31" s="9">
        <v>7.41</v>
      </c>
      <c r="O31" s="8">
        <v>0.70399999999999996</v>
      </c>
      <c r="P31" s="8">
        <f>SUM(Table39[[#This Row],[Chironominae ]:[Hydrachnidia]])</f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</row>
    <row r="32" spans="1:48" ht="18" customHeight="1" x14ac:dyDescent="0.2">
      <c r="A32" s="12" t="s">
        <v>75</v>
      </c>
      <c r="B32" s="6" t="s">
        <v>49</v>
      </c>
      <c r="C32" s="6">
        <v>3</v>
      </c>
      <c r="D32" s="7">
        <v>43493</v>
      </c>
      <c r="E32" s="8">
        <v>1</v>
      </c>
      <c r="F32" s="7">
        <v>43466</v>
      </c>
      <c r="G32" s="8">
        <v>20</v>
      </c>
      <c r="H32" s="8" t="s">
        <v>50</v>
      </c>
      <c r="I32" s="9">
        <v>8.8000000000000007</v>
      </c>
      <c r="J32" s="9">
        <v>7.3</v>
      </c>
      <c r="K32" s="9">
        <v>0.84</v>
      </c>
      <c r="L32" s="8">
        <v>347.5</v>
      </c>
      <c r="M32" s="8">
        <v>240.1</v>
      </c>
      <c r="N32" s="9">
        <v>6.96</v>
      </c>
      <c r="O32" s="8">
        <v>0.312</v>
      </c>
      <c r="P32" s="8">
        <f>SUM(Table39[[#This Row],[Chironominae ]:[Hydrachnidia]])</f>
        <v>41</v>
      </c>
      <c r="Q32" s="4">
        <v>19</v>
      </c>
      <c r="R32" s="4">
        <v>0</v>
      </c>
      <c r="S32" s="4">
        <v>1</v>
      </c>
      <c r="T32" s="4">
        <v>0</v>
      </c>
      <c r="U32" s="4">
        <v>21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1:48" x14ac:dyDescent="0.2">
      <c r="A33" s="13" t="s">
        <v>76</v>
      </c>
      <c r="B33" s="5" t="s">
        <v>49</v>
      </c>
      <c r="C33" s="6">
        <v>3</v>
      </c>
      <c r="D33" s="7">
        <v>43493</v>
      </c>
      <c r="E33" s="8">
        <v>2</v>
      </c>
      <c r="F33" s="7">
        <v>43466</v>
      </c>
      <c r="G33" s="8">
        <v>20</v>
      </c>
      <c r="H33" s="8" t="s">
        <v>50</v>
      </c>
      <c r="I33" s="9">
        <v>8.8000000000000007</v>
      </c>
      <c r="J33" s="9">
        <v>7.3</v>
      </c>
      <c r="K33" s="9">
        <v>0.84</v>
      </c>
      <c r="L33" s="8">
        <v>347.5</v>
      </c>
      <c r="M33" s="8">
        <v>240.1</v>
      </c>
      <c r="N33" s="9">
        <v>6.96</v>
      </c>
      <c r="O33" s="8">
        <v>0.312</v>
      </c>
      <c r="P33" s="8">
        <f>SUM(Table39[[#This Row],[Chironominae ]:[Hydrachnidia]])</f>
        <v>93</v>
      </c>
      <c r="Q33" s="4">
        <v>29</v>
      </c>
      <c r="R33" s="4">
        <v>0</v>
      </c>
      <c r="S33" s="4">
        <v>12</v>
      </c>
      <c r="T33" s="4">
        <v>0</v>
      </c>
      <c r="U33" s="4">
        <v>51</v>
      </c>
      <c r="V33" s="4">
        <v>0</v>
      </c>
      <c r="W33" s="4">
        <v>1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</row>
    <row r="34" spans="1:48" x14ac:dyDescent="0.2">
      <c r="A34" s="11" t="s">
        <v>77</v>
      </c>
      <c r="B34" s="5" t="s">
        <v>49</v>
      </c>
      <c r="C34" s="6">
        <v>3</v>
      </c>
      <c r="D34" s="7">
        <v>43493</v>
      </c>
      <c r="E34" s="8">
        <v>3</v>
      </c>
      <c r="F34" s="7">
        <v>43466</v>
      </c>
      <c r="G34" s="8">
        <v>20</v>
      </c>
      <c r="H34" s="8" t="s">
        <v>50</v>
      </c>
      <c r="I34" s="9">
        <v>8.8000000000000007</v>
      </c>
      <c r="J34" s="9">
        <v>7.3</v>
      </c>
      <c r="K34" s="9">
        <v>0.84</v>
      </c>
      <c r="L34" s="8">
        <v>347.5</v>
      </c>
      <c r="M34" s="8">
        <v>240.1</v>
      </c>
      <c r="N34" s="9">
        <v>6.96</v>
      </c>
      <c r="O34" s="8">
        <v>0.312</v>
      </c>
      <c r="P34" s="8">
        <f>SUM(Table39[[#This Row],[Chironominae ]:[Hydrachnidia]])</f>
        <v>348</v>
      </c>
      <c r="Q34" s="4">
        <v>39</v>
      </c>
      <c r="R34" s="4">
        <v>93</v>
      </c>
      <c r="S34" s="4">
        <v>64</v>
      </c>
      <c r="T34" s="4">
        <v>1</v>
      </c>
      <c r="U34" s="4">
        <v>62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73</v>
      </c>
      <c r="AB34" s="4">
        <v>3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3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10</v>
      </c>
      <c r="AS34" s="4">
        <v>0</v>
      </c>
      <c r="AT34" s="4">
        <v>0</v>
      </c>
      <c r="AU34" s="4">
        <v>0</v>
      </c>
      <c r="AV34" s="4">
        <v>0</v>
      </c>
    </row>
    <row r="35" spans="1:48" x14ac:dyDescent="0.2">
      <c r="A35" s="13" t="s">
        <v>78</v>
      </c>
      <c r="B35" s="5" t="s">
        <v>49</v>
      </c>
      <c r="C35" s="6">
        <v>5</v>
      </c>
      <c r="D35" s="7">
        <v>43493</v>
      </c>
      <c r="E35" s="8">
        <v>1</v>
      </c>
      <c r="F35" s="7">
        <v>43466</v>
      </c>
      <c r="G35" s="8">
        <v>27</v>
      </c>
      <c r="H35" s="8" t="s">
        <v>50</v>
      </c>
      <c r="I35" s="9">
        <v>7.7</v>
      </c>
      <c r="J35" s="9">
        <v>50.2</v>
      </c>
      <c r="K35" s="9">
        <v>5.98</v>
      </c>
      <c r="L35" s="8">
        <v>153</v>
      </c>
      <c r="M35" s="8">
        <v>102.6</v>
      </c>
      <c r="N35" s="9">
        <v>7.54</v>
      </c>
      <c r="O35" s="8">
        <v>6.3E-2</v>
      </c>
      <c r="P35" s="8">
        <f>SUM(Table39[[#This Row],[Chironominae ]:[Hydrachnidia]])</f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1:48" x14ac:dyDescent="0.2">
      <c r="A36" s="11" t="s">
        <v>79</v>
      </c>
      <c r="B36" s="6" t="s">
        <v>49</v>
      </c>
      <c r="C36" s="6">
        <v>5</v>
      </c>
      <c r="D36" s="7">
        <v>43493</v>
      </c>
      <c r="E36" s="8">
        <v>2</v>
      </c>
      <c r="F36" s="7">
        <v>43466</v>
      </c>
      <c r="G36" s="8">
        <v>27</v>
      </c>
      <c r="H36" s="8" t="s">
        <v>50</v>
      </c>
      <c r="I36" s="9">
        <v>7.7</v>
      </c>
      <c r="J36" s="9">
        <v>50.2</v>
      </c>
      <c r="K36" s="9">
        <v>5.98</v>
      </c>
      <c r="L36" s="8">
        <v>153</v>
      </c>
      <c r="M36" s="8">
        <v>102.6</v>
      </c>
      <c r="N36" s="9">
        <v>7.54</v>
      </c>
      <c r="O36" s="8">
        <v>6.3E-2</v>
      </c>
      <c r="P36" s="8">
        <f>SUM(Table39[[#This Row],[Chironominae ]:[Hydrachnidia]])</f>
        <v>9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9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</row>
    <row r="37" spans="1:48" x14ac:dyDescent="0.2">
      <c r="A37" s="10" t="s">
        <v>79</v>
      </c>
      <c r="B37" s="6" t="s">
        <v>49</v>
      </c>
      <c r="C37" s="6">
        <v>5</v>
      </c>
      <c r="D37" s="7">
        <v>43493</v>
      </c>
      <c r="E37" s="8">
        <v>3</v>
      </c>
      <c r="F37" s="7">
        <v>43466</v>
      </c>
      <c r="G37" s="8">
        <v>27</v>
      </c>
      <c r="H37" s="8" t="s">
        <v>50</v>
      </c>
      <c r="I37" s="9">
        <v>7.7</v>
      </c>
      <c r="J37" s="9">
        <v>50.2</v>
      </c>
      <c r="K37" s="9">
        <v>5.98</v>
      </c>
      <c r="L37" s="8">
        <v>153</v>
      </c>
      <c r="M37" s="8">
        <v>102.6</v>
      </c>
      <c r="N37" s="9">
        <v>7.54</v>
      </c>
      <c r="O37" s="8">
        <v>6.3E-2</v>
      </c>
      <c r="P37" s="8">
        <f>SUM(Table39[[#This Row],[Chironominae ]:[Hydrachnidia]])</f>
        <v>121</v>
      </c>
      <c r="Q37" s="4">
        <v>12</v>
      </c>
      <c r="R37" s="4">
        <v>0</v>
      </c>
      <c r="S37" s="4">
        <v>43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65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1</v>
      </c>
      <c r="AS37" s="4">
        <v>0</v>
      </c>
      <c r="AT37" s="4">
        <v>0</v>
      </c>
      <c r="AU37" s="4">
        <v>0</v>
      </c>
      <c r="AV37" s="4">
        <v>0</v>
      </c>
    </row>
    <row r="38" spans="1:48" x14ac:dyDescent="0.2">
      <c r="A38" s="6" t="s">
        <v>80</v>
      </c>
      <c r="B38" s="6" t="s">
        <v>54</v>
      </c>
      <c r="C38" s="6">
        <v>7</v>
      </c>
      <c r="D38" s="7">
        <v>43493</v>
      </c>
      <c r="E38" s="8">
        <v>1</v>
      </c>
      <c r="F38" s="7">
        <v>43466</v>
      </c>
      <c r="G38" s="8">
        <v>27</v>
      </c>
      <c r="H38" s="8" t="s">
        <v>50</v>
      </c>
      <c r="I38" s="9">
        <v>11.4</v>
      </c>
      <c r="J38" s="9">
        <v>94.4</v>
      </c>
      <c r="K38" s="9">
        <v>10.32</v>
      </c>
      <c r="L38" s="8">
        <v>165.5</v>
      </c>
      <c r="M38" s="8">
        <v>122.4</v>
      </c>
      <c r="N38" s="9">
        <v>7.78</v>
      </c>
      <c r="O38" s="8">
        <v>0.78900000000000003</v>
      </c>
      <c r="P38" s="8">
        <f>SUM(Table39[[#This Row],[Chironominae ]:[Hydrachnidia]])</f>
        <v>178</v>
      </c>
      <c r="Q38" s="4">
        <v>88</v>
      </c>
      <c r="R38" s="4">
        <v>21</v>
      </c>
      <c r="S38" s="4">
        <v>0</v>
      </c>
      <c r="T38" s="4">
        <v>0</v>
      </c>
      <c r="U38" s="4">
        <v>0</v>
      </c>
      <c r="V38" s="4">
        <v>11</v>
      </c>
      <c r="W38" s="4">
        <v>0</v>
      </c>
      <c r="X38" s="4">
        <v>2</v>
      </c>
      <c r="Y38" s="4">
        <v>0</v>
      </c>
      <c r="Z38" s="4">
        <v>0</v>
      </c>
      <c r="AA38" s="4">
        <v>21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35</v>
      </c>
    </row>
    <row r="39" spans="1:48" x14ac:dyDescent="0.2">
      <c r="A39" s="6" t="s">
        <v>81</v>
      </c>
      <c r="B39" s="6" t="s">
        <v>54</v>
      </c>
      <c r="C39" s="6">
        <v>7</v>
      </c>
      <c r="D39" s="7">
        <v>43493</v>
      </c>
      <c r="E39" s="8">
        <v>2</v>
      </c>
      <c r="F39" s="7">
        <v>43466</v>
      </c>
      <c r="G39" s="8">
        <v>27</v>
      </c>
      <c r="H39" s="8" t="s">
        <v>50</v>
      </c>
      <c r="I39" s="9">
        <v>11.4</v>
      </c>
      <c r="J39" s="9">
        <v>94.4</v>
      </c>
      <c r="K39" s="9">
        <v>10.32</v>
      </c>
      <c r="L39" s="8">
        <v>165.5</v>
      </c>
      <c r="M39" s="8">
        <v>122.4</v>
      </c>
      <c r="N39" s="9">
        <v>7.78</v>
      </c>
      <c r="O39" s="8">
        <v>0.78900000000000003</v>
      </c>
      <c r="P39" s="8">
        <f>SUM(Table39[[#This Row],[Chironominae ]:[Hydrachnidia]])</f>
        <v>270</v>
      </c>
      <c r="Q39" s="4">
        <v>163</v>
      </c>
      <c r="R39" s="4">
        <v>35</v>
      </c>
      <c r="S39" s="4">
        <v>0</v>
      </c>
      <c r="T39" s="4">
        <v>0</v>
      </c>
      <c r="U39" s="4">
        <v>0</v>
      </c>
      <c r="V39" s="4">
        <v>4</v>
      </c>
      <c r="W39" s="4">
        <v>0</v>
      </c>
      <c r="X39" s="4">
        <v>6</v>
      </c>
      <c r="Y39" s="4">
        <v>0</v>
      </c>
      <c r="Z39" s="4">
        <v>0</v>
      </c>
      <c r="AA39" s="4">
        <v>35</v>
      </c>
      <c r="AB39" s="4">
        <v>4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23</v>
      </c>
    </row>
    <row r="40" spans="1:48" x14ac:dyDescent="0.2">
      <c r="A40" s="6" t="s">
        <v>80</v>
      </c>
      <c r="B40" s="6" t="s">
        <v>54</v>
      </c>
      <c r="C40" s="6">
        <v>7</v>
      </c>
      <c r="D40" s="7">
        <v>43493</v>
      </c>
      <c r="E40" s="8">
        <v>3</v>
      </c>
      <c r="F40" s="7">
        <v>43466</v>
      </c>
      <c r="G40" s="8">
        <v>27</v>
      </c>
      <c r="H40" s="8" t="s">
        <v>50</v>
      </c>
      <c r="I40" s="9">
        <v>11.4</v>
      </c>
      <c r="J40" s="9">
        <v>94.4</v>
      </c>
      <c r="K40" s="9">
        <v>10.32</v>
      </c>
      <c r="L40" s="8">
        <v>165.5</v>
      </c>
      <c r="M40" s="8">
        <v>122.4</v>
      </c>
      <c r="N40" s="9">
        <v>7.78</v>
      </c>
      <c r="O40" s="8">
        <v>0.78900000000000003</v>
      </c>
      <c r="P40" s="8">
        <f>SUM(Table39[[#This Row],[Chironominae ]:[Hydrachnidia]])</f>
        <v>219</v>
      </c>
      <c r="Q40" s="4">
        <v>170</v>
      </c>
      <c r="R40" s="4">
        <v>1</v>
      </c>
      <c r="S40" s="4">
        <v>0</v>
      </c>
      <c r="T40" s="4">
        <v>0</v>
      </c>
      <c r="U40" s="4">
        <v>0</v>
      </c>
      <c r="V40" s="4">
        <v>5</v>
      </c>
      <c r="W40" s="4">
        <v>0</v>
      </c>
      <c r="X40" s="4">
        <v>8</v>
      </c>
      <c r="Y40" s="4">
        <v>0</v>
      </c>
      <c r="Z40" s="4">
        <v>0</v>
      </c>
      <c r="AA40" s="4">
        <v>1</v>
      </c>
      <c r="AB40" s="4">
        <v>1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5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28</v>
      </c>
    </row>
    <row r="41" spans="1:48" x14ac:dyDescent="0.2">
      <c r="A41" s="12" t="s">
        <v>82</v>
      </c>
      <c r="B41" s="6" t="s">
        <v>54</v>
      </c>
      <c r="C41" s="6">
        <v>10</v>
      </c>
      <c r="D41" s="7">
        <v>43493</v>
      </c>
      <c r="E41" s="8">
        <v>1</v>
      </c>
      <c r="F41" s="7">
        <v>43466</v>
      </c>
      <c r="G41" s="8">
        <v>20</v>
      </c>
      <c r="H41" s="8" t="s">
        <v>50</v>
      </c>
      <c r="I41" s="9">
        <v>11.4</v>
      </c>
      <c r="J41" s="9">
        <v>100.4</v>
      </c>
      <c r="K41" s="9">
        <v>10.97</v>
      </c>
      <c r="L41" s="8">
        <v>154.19999999999999</v>
      </c>
      <c r="M41" s="8">
        <v>114.1</v>
      </c>
      <c r="N41" s="9">
        <v>7.82</v>
      </c>
      <c r="O41" s="8">
        <v>0.85099999999999998</v>
      </c>
      <c r="P41" s="8">
        <f>SUM(Table39[[#This Row],[Chironominae ]:[Hydrachnidia]])</f>
        <v>36</v>
      </c>
      <c r="Q41" s="4">
        <v>16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3</v>
      </c>
      <c r="Y41" s="4">
        <v>0</v>
      </c>
      <c r="Z41" s="4">
        <v>0</v>
      </c>
      <c r="AA41" s="4">
        <v>0</v>
      </c>
      <c r="AB41" s="4">
        <v>1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16</v>
      </c>
    </row>
    <row r="42" spans="1:48" x14ac:dyDescent="0.2">
      <c r="A42" s="12" t="s">
        <v>83</v>
      </c>
      <c r="B42" s="6" t="s">
        <v>54</v>
      </c>
      <c r="C42" s="6">
        <v>10</v>
      </c>
      <c r="D42" s="7">
        <v>43493</v>
      </c>
      <c r="E42" s="8">
        <v>2</v>
      </c>
      <c r="F42" s="7">
        <v>43466</v>
      </c>
      <c r="G42" s="8">
        <v>20</v>
      </c>
      <c r="H42" s="8" t="s">
        <v>50</v>
      </c>
      <c r="I42" s="9">
        <v>11.4</v>
      </c>
      <c r="J42" s="9">
        <v>100.4</v>
      </c>
      <c r="K42" s="9">
        <v>10.97</v>
      </c>
      <c r="L42" s="8">
        <v>154.19999999999999</v>
      </c>
      <c r="M42" s="8">
        <v>114.1</v>
      </c>
      <c r="N42" s="9">
        <v>7.82</v>
      </c>
      <c r="O42" s="8">
        <v>0.85099999999999998</v>
      </c>
      <c r="P42" s="8">
        <f>SUM(Table39[[#This Row],[Chironominae ]:[Hydrachnidia]])</f>
        <v>41</v>
      </c>
      <c r="Q42" s="4">
        <v>4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8</v>
      </c>
      <c r="Y42" s="4">
        <v>0</v>
      </c>
      <c r="Z42" s="4">
        <v>0</v>
      </c>
      <c r="AA42" s="4">
        <v>2</v>
      </c>
      <c r="AB42" s="4">
        <v>1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16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2</v>
      </c>
      <c r="AQ42" s="4">
        <v>1</v>
      </c>
      <c r="AR42" s="4">
        <v>2</v>
      </c>
      <c r="AS42" s="4">
        <v>0</v>
      </c>
      <c r="AT42" s="4">
        <v>0</v>
      </c>
      <c r="AU42" s="4">
        <v>0</v>
      </c>
      <c r="AV42" s="4">
        <v>4</v>
      </c>
    </row>
    <row r="43" spans="1:48" x14ac:dyDescent="0.2">
      <c r="A43" s="11" t="s">
        <v>84</v>
      </c>
      <c r="B43" s="6" t="s">
        <v>54</v>
      </c>
      <c r="C43" s="6">
        <v>10</v>
      </c>
      <c r="D43" s="7">
        <v>43493</v>
      </c>
      <c r="E43" s="8">
        <v>3</v>
      </c>
      <c r="F43" s="7">
        <v>43466</v>
      </c>
      <c r="G43" s="8">
        <v>20</v>
      </c>
      <c r="H43" s="8" t="s">
        <v>50</v>
      </c>
      <c r="I43" s="9">
        <v>11.4</v>
      </c>
      <c r="J43" s="9">
        <v>100.4</v>
      </c>
      <c r="K43" s="9">
        <v>10.97</v>
      </c>
      <c r="L43" s="8">
        <v>154.19999999999999</v>
      </c>
      <c r="M43" s="8">
        <v>114.1</v>
      </c>
      <c r="N43" s="9">
        <v>7.82</v>
      </c>
      <c r="O43" s="8">
        <v>0.85099999999999998</v>
      </c>
      <c r="P43" s="8">
        <f>SUM(Table39[[#This Row],[Chironominae ]:[Hydrachnidia]])</f>
        <v>35</v>
      </c>
      <c r="Q43" s="4">
        <v>25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3</v>
      </c>
      <c r="Y43" s="4">
        <v>0</v>
      </c>
      <c r="Z43" s="4">
        <v>0</v>
      </c>
      <c r="AA43" s="4">
        <v>0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6</v>
      </c>
    </row>
    <row r="44" spans="1:48" x14ac:dyDescent="0.2">
      <c r="A44" s="6" t="s">
        <v>85</v>
      </c>
      <c r="B44" s="6" t="s">
        <v>49</v>
      </c>
      <c r="C44" s="6">
        <v>11</v>
      </c>
      <c r="D44" s="7">
        <v>43493</v>
      </c>
      <c r="E44" s="8">
        <v>1</v>
      </c>
      <c r="F44" s="7">
        <v>43466</v>
      </c>
      <c r="G44" s="8">
        <v>27</v>
      </c>
      <c r="H44" s="8" t="s">
        <v>50</v>
      </c>
      <c r="I44" s="9">
        <v>8.1999999999999993</v>
      </c>
      <c r="J44" s="9">
        <v>25</v>
      </c>
      <c r="K44" s="9">
        <v>2.96</v>
      </c>
      <c r="L44" s="8">
        <v>169.1</v>
      </c>
      <c r="M44" s="8">
        <v>114.7</v>
      </c>
      <c r="N44" s="9">
        <v>7.43</v>
      </c>
      <c r="O44" s="8">
        <v>0.18</v>
      </c>
      <c r="P44" s="8">
        <f>SUM(Table39[[#This Row],[Chironominae ]:[Hydrachnidia]])</f>
        <v>8</v>
      </c>
      <c r="Q44" s="4">
        <v>4</v>
      </c>
      <c r="R44" s="4">
        <v>0</v>
      </c>
      <c r="S44" s="4">
        <v>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</row>
    <row r="45" spans="1:48" x14ac:dyDescent="0.2">
      <c r="A45" s="6" t="s">
        <v>86</v>
      </c>
      <c r="B45" s="6" t="s">
        <v>49</v>
      </c>
      <c r="C45" s="6">
        <v>11</v>
      </c>
      <c r="D45" s="7">
        <v>43493</v>
      </c>
      <c r="E45" s="8">
        <v>2</v>
      </c>
      <c r="F45" s="7">
        <v>43466</v>
      </c>
      <c r="G45" s="8">
        <v>27</v>
      </c>
      <c r="H45" s="8" t="s">
        <v>50</v>
      </c>
      <c r="I45" s="9">
        <v>8.1999999999999993</v>
      </c>
      <c r="J45" s="9">
        <v>25</v>
      </c>
      <c r="K45" s="9">
        <v>2.96</v>
      </c>
      <c r="L45" s="8">
        <v>169.1</v>
      </c>
      <c r="M45" s="8">
        <v>114.7</v>
      </c>
      <c r="N45" s="9">
        <v>7.43</v>
      </c>
      <c r="O45" s="8">
        <v>0.18</v>
      </c>
      <c r="P45" s="8">
        <f>SUM(Table39[[#This Row],[Chironominae ]:[Hydrachnidia]])</f>
        <v>20</v>
      </c>
      <c r="Q45" s="4">
        <v>0</v>
      </c>
      <c r="R45" s="4">
        <v>0</v>
      </c>
      <c r="S45" s="4">
        <v>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15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</row>
    <row r="46" spans="1:48" x14ac:dyDescent="0.2">
      <c r="A46" s="6" t="s">
        <v>87</v>
      </c>
      <c r="B46" s="6" t="s">
        <v>49</v>
      </c>
      <c r="C46" s="6">
        <v>11</v>
      </c>
      <c r="D46" s="7">
        <v>43493</v>
      </c>
      <c r="E46" s="8">
        <v>3</v>
      </c>
      <c r="F46" s="7">
        <v>43466</v>
      </c>
      <c r="G46" s="8">
        <v>27</v>
      </c>
      <c r="H46" s="8" t="s">
        <v>50</v>
      </c>
      <c r="I46" s="9">
        <v>8.1999999999999993</v>
      </c>
      <c r="J46" s="9">
        <v>25</v>
      </c>
      <c r="K46" s="9">
        <v>2.96</v>
      </c>
      <c r="L46" s="8">
        <v>169.1</v>
      </c>
      <c r="M46" s="8">
        <v>114.7</v>
      </c>
      <c r="N46" s="9">
        <v>7.43</v>
      </c>
      <c r="O46" s="8">
        <v>0.18</v>
      </c>
      <c r="P46" s="8">
        <f>SUM(Table39[[#This Row],[Chironominae ]:[Hydrachnidia]])</f>
        <v>21</v>
      </c>
      <c r="Q46" s="4">
        <v>10</v>
      </c>
      <c r="R46" s="4">
        <v>0</v>
      </c>
      <c r="S46" s="4">
        <v>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8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</row>
    <row r="47" spans="1:48" x14ac:dyDescent="0.2">
      <c r="A47" s="6" t="s">
        <v>88</v>
      </c>
      <c r="B47" s="6" t="s">
        <v>49</v>
      </c>
      <c r="C47" s="6">
        <v>1</v>
      </c>
      <c r="D47" s="7">
        <v>43507</v>
      </c>
      <c r="E47" s="8">
        <v>1</v>
      </c>
      <c r="F47" s="7">
        <v>43466</v>
      </c>
      <c r="G47" s="8">
        <v>41</v>
      </c>
      <c r="H47" s="8" t="s">
        <v>89</v>
      </c>
      <c r="I47" s="9">
        <v>9.4</v>
      </c>
      <c r="J47" s="9">
        <v>11.7</v>
      </c>
      <c r="K47" s="9">
        <v>1.34</v>
      </c>
      <c r="L47" s="8">
        <v>288.60000000000002</v>
      </c>
      <c r="M47" s="8">
        <v>202.4</v>
      </c>
      <c r="N47" s="9">
        <v>7.2</v>
      </c>
      <c r="O47" s="8">
        <v>3.5999999999999997E-2</v>
      </c>
      <c r="P47" s="8">
        <f>SUM(Table39[[#This Row],[Chironominae ]:[Hydrachnidia]])</f>
        <v>67</v>
      </c>
      <c r="Q47" s="4">
        <v>2</v>
      </c>
      <c r="R47" s="4">
        <v>0</v>
      </c>
      <c r="S47" s="4">
        <v>52</v>
      </c>
      <c r="T47" s="4">
        <v>0</v>
      </c>
      <c r="U47" s="4">
        <v>8</v>
      </c>
      <c r="V47" s="4">
        <v>0</v>
      </c>
      <c r="W47" s="4">
        <v>0</v>
      </c>
      <c r="X47" s="4">
        <v>5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</row>
    <row r="48" spans="1:48" x14ac:dyDescent="0.2">
      <c r="A48" s="6" t="s">
        <v>90</v>
      </c>
      <c r="B48" s="6" t="s">
        <v>49</v>
      </c>
      <c r="C48" s="6">
        <v>1</v>
      </c>
      <c r="D48" s="7">
        <v>43507</v>
      </c>
      <c r="E48" s="8">
        <v>2</v>
      </c>
      <c r="F48" s="7">
        <v>43466</v>
      </c>
      <c r="G48" s="8">
        <v>41</v>
      </c>
      <c r="H48" s="8" t="s">
        <v>89</v>
      </c>
      <c r="I48" s="9">
        <v>9.4</v>
      </c>
      <c r="J48" s="9">
        <v>11.7</v>
      </c>
      <c r="K48" s="9">
        <v>1.34</v>
      </c>
      <c r="L48" s="8">
        <v>288.60000000000002</v>
      </c>
      <c r="M48" s="8">
        <v>202.4</v>
      </c>
      <c r="N48" s="9">
        <v>7.2</v>
      </c>
      <c r="O48" s="8">
        <v>3.5999999999999997E-2</v>
      </c>
      <c r="P48" s="8">
        <f>SUM(Table39[[#This Row],[Chironominae ]:[Hydrachnidia]])</f>
        <v>235</v>
      </c>
      <c r="Q48" s="4">
        <v>39</v>
      </c>
      <c r="R48" s="4">
        <v>0</v>
      </c>
      <c r="S48" s="4">
        <v>99</v>
      </c>
      <c r="T48" s="4">
        <v>0</v>
      </c>
      <c r="U48" s="4">
        <v>69</v>
      </c>
      <c r="V48" s="4">
        <v>0</v>
      </c>
      <c r="W48" s="4">
        <v>0</v>
      </c>
      <c r="X48" s="4">
        <v>25</v>
      </c>
      <c r="Y48" s="4">
        <v>0</v>
      </c>
      <c r="Z48" s="4">
        <v>0</v>
      </c>
      <c r="AA48" s="4">
        <v>1</v>
      </c>
      <c r="AB48" s="4">
        <v>2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</row>
    <row r="49" spans="1:48" x14ac:dyDescent="0.2">
      <c r="A49" s="6" t="s">
        <v>91</v>
      </c>
      <c r="B49" s="6" t="s">
        <v>49</v>
      </c>
      <c r="C49" s="6">
        <v>1</v>
      </c>
      <c r="D49" s="7">
        <v>43507</v>
      </c>
      <c r="E49" s="8">
        <v>3</v>
      </c>
      <c r="F49" s="7">
        <v>43466</v>
      </c>
      <c r="G49" s="8">
        <v>41</v>
      </c>
      <c r="H49" s="8" t="s">
        <v>89</v>
      </c>
      <c r="I49" s="9">
        <v>9.4</v>
      </c>
      <c r="J49" s="9">
        <v>11.7</v>
      </c>
      <c r="K49" s="9">
        <v>1.34</v>
      </c>
      <c r="L49" s="8">
        <v>288.60000000000002</v>
      </c>
      <c r="M49" s="8">
        <v>202.4</v>
      </c>
      <c r="N49" s="9">
        <v>7.2</v>
      </c>
      <c r="O49" s="8">
        <v>3.5999999999999997E-2</v>
      </c>
      <c r="P49" s="8">
        <f>SUM(Table39[[#This Row],[Chironominae ]:[Hydrachnidia]])</f>
        <v>12</v>
      </c>
      <c r="Q49" s="4">
        <v>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0</v>
      </c>
      <c r="AA49" s="4">
        <v>0</v>
      </c>
      <c r="AB49" s="4">
        <v>10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</row>
    <row r="50" spans="1:48" x14ac:dyDescent="0.2">
      <c r="A50" s="6"/>
      <c r="B50" s="6" t="s">
        <v>49</v>
      </c>
      <c r="C50" s="6">
        <v>3</v>
      </c>
      <c r="D50" s="7">
        <v>43507</v>
      </c>
      <c r="E50" s="8">
        <v>1</v>
      </c>
      <c r="F50" s="7">
        <v>43466</v>
      </c>
      <c r="G50" s="8">
        <v>41</v>
      </c>
      <c r="H50" s="8" t="s">
        <v>89</v>
      </c>
      <c r="I50" s="9">
        <v>11</v>
      </c>
      <c r="J50" s="9">
        <v>5.4</v>
      </c>
      <c r="K50" s="9">
        <v>0.59</v>
      </c>
      <c r="L50" s="8">
        <v>260.5</v>
      </c>
      <c r="M50" s="8">
        <v>191</v>
      </c>
      <c r="N50" s="9">
        <v>6.96</v>
      </c>
      <c r="O50" s="8">
        <v>0.35499999999999998</v>
      </c>
      <c r="P50" s="8">
        <f>SUM(Table39[[#This Row],[Chironominae ]:[Hydrachnidia]])</f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</row>
    <row r="51" spans="1:48" x14ac:dyDescent="0.2">
      <c r="A51" s="6"/>
      <c r="B51" s="6" t="s">
        <v>49</v>
      </c>
      <c r="C51" s="6">
        <v>3</v>
      </c>
      <c r="D51" s="7">
        <v>43507</v>
      </c>
      <c r="E51" s="8">
        <v>2</v>
      </c>
      <c r="F51" s="7">
        <v>43466</v>
      </c>
      <c r="G51" s="8">
        <v>41</v>
      </c>
      <c r="H51" s="8" t="s">
        <v>89</v>
      </c>
      <c r="I51" s="9">
        <v>11</v>
      </c>
      <c r="J51" s="9">
        <v>5.4</v>
      </c>
      <c r="K51" s="9">
        <v>0.59</v>
      </c>
      <c r="L51" s="8">
        <v>260.5</v>
      </c>
      <c r="M51" s="8">
        <v>191</v>
      </c>
      <c r="N51" s="9">
        <v>6.96</v>
      </c>
      <c r="O51" s="8">
        <v>0.35499999999999998</v>
      </c>
      <c r="P51" s="8">
        <f>SUM(Table39[[#This Row],[Chironominae ]:[Hydrachnidia]])</f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</row>
    <row r="52" spans="1:48" x14ac:dyDescent="0.2">
      <c r="A52" s="6" t="s">
        <v>92</v>
      </c>
      <c r="B52" s="6" t="s">
        <v>49</v>
      </c>
      <c r="C52" s="6">
        <v>3</v>
      </c>
      <c r="D52" s="7">
        <v>43507</v>
      </c>
      <c r="E52" s="8">
        <v>3</v>
      </c>
      <c r="F52" s="7">
        <v>43466</v>
      </c>
      <c r="G52" s="8">
        <v>41</v>
      </c>
      <c r="H52" s="8" t="s">
        <v>89</v>
      </c>
      <c r="I52" s="9">
        <v>11</v>
      </c>
      <c r="J52" s="9">
        <v>5.4</v>
      </c>
      <c r="K52" s="9">
        <v>0.59</v>
      </c>
      <c r="L52" s="8">
        <v>260.5</v>
      </c>
      <c r="M52" s="8">
        <v>191</v>
      </c>
      <c r="N52" s="9">
        <v>6.96</v>
      </c>
      <c r="O52" s="8">
        <v>0.35499999999999998</v>
      </c>
      <c r="P52" s="8">
        <f>SUM(Table39[[#This Row],[Chironominae ]:[Hydrachnidia]])</f>
        <v>160</v>
      </c>
      <c r="Q52" s="4">
        <v>3</v>
      </c>
      <c r="R52" s="4">
        <v>0</v>
      </c>
      <c r="S52" s="4">
        <v>2</v>
      </c>
      <c r="T52" s="4">
        <v>0</v>
      </c>
      <c r="U52" s="4">
        <v>53</v>
      </c>
      <c r="V52" s="4">
        <v>0</v>
      </c>
      <c r="W52" s="4">
        <v>0</v>
      </c>
      <c r="X52" s="4">
        <v>6</v>
      </c>
      <c r="Y52" s="4">
        <v>0</v>
      </c>
      <c r="Z52" s="4">
        <v>0</v>
      </c>
      <c r="AA52" s="4">
        <v>96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</row>
    <row r="53" spans="1:48" x14ac:dyDescent="0.2">
      <c r="A53" s="10" t="s">
        <v>93</v>
      </c>
      <c r="B53" s="6" t="s">
        <v>49</v>
      </c>
      <c r="C53" s="6">
        <v>5</v>
      </c>
      <c r="D53" s="14">
        <v>43507</v>
      </c>
      <c r="E53" s="8">
        <v>1</v>
      </c>
      <c r="F53" s="7">
        <v>43466</v>
      </c>
      <c r="G53" s="8">
        <v>41</v>
      </c>
      <c r="H53" s="8" t="s">
        <v>89</v>
      </c>
      <c r="I53" s="9">
        <v>9.4</v>
      </c>
      <c r="J53" s="9">
        <v>25.6</v>
      </c>
      <c r="K53" s="9">
        <v>2.92</v>
      </c>
      <c r="L53" s="8">
        <v>177.8</v>
      </c>
      <c r="M53" s="8">
        <v>124.8</v>
      </c>
      <c r="N53" s="9">
        <v>6.9</v>
      </c>
      <c r="O53" s="8">
        <v>6.2E-2</v>
      </c>
      <c r="P53" s="8">
        <f>SUM(Table39[[#This Row],[Chironominae ]:[Hydrachnidia]])</f>
        <v>89</v>
      </c>
      <c r="Q53" s="4">
        <v>19</v>
      </c>
      <c r="R53" s="4">
        <v>8</v>
      </c>
      <c r="S53" s="4">
        <v>33</v>
      </c>
      <c r="T53" s="4">
        <v>0</v>
      </c>
      <c r="U53" s="4">
        <v>26</v>
      </c>
      <c r="V53" s="4">
        <v>0</v>
      </c>
      <c r="W53" s="4">
        <v>0</v>
      </c>
      <c r="X53" s="4">
        <v>1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</row>
    <row r="54" spans="1:48" x14ac:dyDescent="0.2">
      <c r="A54" s="6" t="s">
        <v>94</v>
      </c>
      <c r="B54" s="6" t="s">
        <v>49</v>
      </c>
      <c r="C54" s="6">
        <v>5</v>
      </c>
      <c r="D54" s="14">
        <v>43507</v>
      </c>
      <c r="E54" s="8">
        <v>2</v>
      </c>
      <c r="F54" s="7">
        <v>43466</v>
      </c>
      <c r="G54" s="8">
        <v>41</v>
      </c>
      <c r="H54" s="8" t="s">
        <v>89</v>
      </c>
      <c r="I54" s="9">
        <v>9.4</v>
      </c>
      <c r="J54" s="9">
        <v>25.6</v>
      </c>
      <c r="K54" s="9">
        <v>2.92</v>
      </c>
      <c r="L54" s="8">
        <v>177.8</v>
      </c>
      <c r="M54" s="8">
        <v>124.8</v>
      </c>
      <c r="N54" s="9">
        <v>6.9</v>
      </c>
      <c r="O54" s="8">
        <v>6.2E-2</v>
      </c>
      <c r="P54" s="8">
        <f>SUM(Table39[[#This Row],[Chironominae ]:[Hydrachnidia]])</f>
        <v>91</v>
      </c>
      <c r="Q54" s="4">
        <v>0</v>
      </c>
      <c r="R54" s="4">
        <v>0</v>
      </c>
      <c r="S54" s="4">
        <v>0</v>
      </c>
      <c r="T54" s="4">
        <v>4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0</v>
      </c>
      <c r="AA54" s="4">
        <v>0</v>
      </c>
      <c r="AB54" s="4">
        <v>79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5</v>
      </c>
      <c r="AQ54" s="4">
        <v>2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</row>
    <row r="55" spans="1:48" x14ac:dyDescent="0.2">
      <c r="A55" s="15" t="s">
        <v>95</v>
      </c>
      <c r="B55" s="6" t="s">
        <v>49</v>
      </c>
      <c r="C55" s="6">
        <v>5</v>
      </c>
      <c r="D55" s="14">
        <v>43507</v>
      </c>
      <c r="E55" s="8">
        <v>3</v>
      </c>
      <c r="F55" s="7">
        <v>43466</v>
      </c>
      <c r="G55" s="8">
        <v>41</v>
      </c>
      <c r="H55" s="8" t="s">
        <v>89</v>
      </c>
      <c r="I55" s="9">
        <v>9.4</v>
      </c>
      <c r="J55" s="9">
        <v>25.6</v>
      </c>
      <c r="K55" s="9">
        <v>2.92</v>
      </c>
      <c r="L55" s="8">
        <v>177.8</v>
      </c>
      <c r="M55" s="8">
        <v>124.8</v>
      </c>
      <c r="N55" s="9">
        <v>6.9</v>
      </c>
      <c r="O55" s="8">
        <v>6.2E-2</v>
      </c>
      <c r="P55" s="8">
        <f>SUM(Table39[[#This Row],[Chironominae ]:[Hydrachnidia]])</f>
        <v>25</v>
      </c>
      <c r="Q55" s="4">
        <v>9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2</v>
      </c>
      <c r="AG55" s="4">
        <v>0</v>
      </c>
      <c r="AH55" s="4">
        <v>0</v>
      </c>
      <c r="AI55" s="4">
        <v>3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</row>
    <row r="56" spans="1:48" x14ac:dyDescent="0.2">
      <c r="A56" s="15"/>
      <c r="B56" s="6" t="s">
        <v>49</v>
      </c>
      <c r="C56" s="6">
        <v>11</v>
      </c>
      <c r="D56" s="7">
        <v>43507</v>
      </c>
      <c r="E56" s="8">
        <v>1</v>
      </c>
      <c r="F56" s="7">
        <v>43466</v>
      </c>
      <c r="G56" s="8">
        <v>41</v>
      </c>
      <c r="H56" s="8" t="s">
        <v>89</v>
      </c>
      <c r="I56" s="9">
        <v>11.2</v>
      </c>
      <c r="J56" s="9">
        <v>5.3</v>
      </c>
      <c r="K56" s="9">
        <v>0.57999999999999996</v>
      </c>
      <c r="L56" s="8">
        <v>218.4</v>
      </c>
      <c r="M56" s="8">
        <v>160.9</v>
      </c>
      <c r="N56" s="9">
        <v>7.07</v>
      </c>
      <c r="O56" s="8">
        <v>0.53200000000000003</v>
      </c>
      <c r="P56" s="8">
        <f>SUM(Table39[[#This Row],[Chironominae ]:[Hydrachnidia]])</f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</row>
    <row r="57" spans="1:48" x14ac:dyDescent="0.2">
      <c r="A57" s="15" t="s">
        <v>96</v>
      </c>
      <c r="B57" s="6" t="s">
        <v>49</v>
      </c>
      <c r="C57" s="6">
        <v>11</v>
      </c>
      <c r="D57" s="7">
        <v>43507</v>
      </c>
      <c r="E57" s="8">
        <v>2</v>
      </c>
      <c r="F57" s="7">
        <v>43466</v>
      </c>
      <c r="G57" s="8">
        <v>41</v>
      </c>
      <c r="H57" s="8" t="s">
        <v>89</v>
      </c>
      <c r="I57" s="9">
        <v>11.2</v>
      </c>
      <c r="J57" s="9">
        <v>5.3</v>
      </c>
      <c r="K57" s="9">
        <v>0.57999999999999996</v>
      </c>
      <c r="L57" s="8">
        <v>218.4</v>
      </c>
      <c r="M57" s="8">
        <v>160.9</v>
      </c>
      <c r="N57" s="9">
        <v>7.07</v>
      </c>
      <c r="O57" s="8">
        <v>0.53200000000000003</v>
      </c>
      <c r="P57" s="8">
        <f>SUM(Table39[[#This Row],[Chironominae ]:[Hydrachnidia]])</f>
        <v>56</v>
      </c>
      <c r="Q57" s="4">
        <v>5</v>
      </c>
      <c r="R57" s="4">
        <v>0</v>
      </c>
      <c r="S57" s="4">
        <v>0</v>
      </c>
      <c r="T57" s="4">
        <v>5</v>
      </c>
      <c r="U57" s="4">
        <v>0</v>
      </c>
      <c r="V57" s="4">
        <v>0</v>
      </c>
      <c r="W57" s="4">
        <v>0</v>
      </c>
      <c r="X57" s="4">
        <v>1</v>
      </c>
      <c r="Y57" s="4">
        <v>0</v>
      </c>
      <c r="Z57" s="4">
        <v>0</v>
      </c>
      <c r="AA57" s="4">
        <v>4</v>
      </c>
      <c r="AB57" s="4">
        <v>21</v>
      </c>
      <c r="AC57" s="4">
        <v>0</v>
      </c>
      <c r="AD57" s="4">
        <v>0</v>
      </c>
      <c r="AE57" s="4">
        <v>0</v>
      </c>
      <c r="AF57" s="4">
        <v>1</v>
      </c>
      <c r="AG57" s="4">
        <v>0</v>
      </c>
      <c r="AH57" s="4">
        <v>0</v>
      </c>
      <c r="AI57" s="4">
        <v>19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</row>
    <row r="58" spans="1:48" x14ac:dyDescent="0.2">
      <c r="A58" s="15" t="s">
        <v>97</v>
      </c>
      <c r="B58" s="6" t="s">
        <v>49</v>
      </c>
      <c r="C58" s="6">
        <v>11</v>
      </c>
      <c r="D58" s="7">
        <v>43507</v>
      </c>
      <c r="E58" s="8">
        <v>3</v>
      </c>
      <c r="F58" s="7">
        <v>43466</v>
      </c>
      <c r="G58" s="8">
        <v>41</v>
      </c>
      <c r="H58" s="8" t="s">
        <v>89</v>
      </c>
      <c r="I58" s="9">
        <v>11.2</v>
      </c>
      <c r="J58" s="9">
        <v>5.3</v>
      </c>
      <c r="K58" s="9">
        <v>0.57999999999999996</v>
      </c>
      <c r="L58" s="8">
        <v>218.4</v>
      </c>
      <c r="M58" s="8">
        <v>160.9</v>
      </c>
      <c r="N58" s="9">
        <v>7.07</v>
      </c>
      <c r="O58" s="8">
        <v>0.53200000000000003</v>
      </c>
      <c r="P58" s="8">
        <f>SUM(Table39[[#This Row],[Chironominae ]:[Hydrachnidia]])</f>
        <v>40</v>
      </c>
      <c r="Q58" s="4">
        <v>16</v>
      </c>
      <c r="R58" s="4">
        <v>0</v>
      </c>
      <c r="S58" s="4">
        <v>0</v>
      </c>
      <c r="T58" s="4">
        <v>0</v>
      </c>
      <c r="U58" s="4">
        <v>5</v>
      </c>
      <c r="V58" s="4">
        <v>0</v>
      </c>
      <c r="W58" s="4">
        <v>0</v>
      </c>
      <c r="X58" s="4">
        <v>3</v>
      </c>
      <c r="Y58" s="4">
        <v>0</v>
      </c>
      <c r="Z58" s="4">
        <v>0</v>
      </c>
      <c r="AA58" s="4">
        <v>0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15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</row>
    <row r="59" spans="1:48" x14ac:dyDescent="0.2">
      <c r="A59" s="11" t="s">
        <v>98</v>
      </c>
      <c r="B59" s="6" t="s">
        <v>54</v>
      </c>
      <c r="C59" s="6">
        <v>2</v>
      </c>
      <c r="D59" s="14">
        <v>43514</v>
      </c>
      <c r="E59" s="8">
        <v>1</v>
      </c>
      <c r="F59" s="7">
        <v>43466</v>
      </c>
      <c r="G59" s="8">
        <v>48</v>
      </c>
      <c r="H59" s="8" t="s">
        <v>89</v>
      </c>
      <c r="I59" s="9">
        <v>16.3</v>
      </c>
      <c r="J59" s="9">
        <v>61.8</v>
      </c>
      <c r="K59" s="9">
        <v>6.05</v>
      </c>
      <c r="L59" s="8">
        <v>199.5</v>
      </c>
      <c r="M59" s="8">
        <v>166.4</v>
      </c>
      <c r="N59" s="9">
        <v>7.22</v>
      </c>
      <c r="O59" s="8">
        <v>0.78800000000000003</v>
      </c>
      <c r="P59" s="8">
        <f>SUM(Table39[[#This Row],[Chironominae ]:[Hydrachnidia]])</f>
        <v>134</v>
      </c>
      <c r="Q59" s="4">
        <v>93</v>
      </c>
      <c r="R59" s="4">
        <v>1</v>
      </c>
      <c r="S59" s="4">
        <v>0</v>
      </c>
      <c r="T59" s="4">
        <v>2</v>
      </c>
      <c r="U59" s="4">
        <v>22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7</v>
      </c>
      <c r="AB59" s="4">
        <v>3</v>
      </c>
      <c r="AC59" s="4">
        <v>0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2</v>
      </c>
      <c r="AO59" s="4">
        <v>0</v>
      </c>
      <c r="AP59" s="4">
        <v>1</v>
      </c>
      <c r="AQ59" s="4">
        <v>1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</row>
    <row r="60" spans="1:48" x14ac:dyDescent="0.2">
      <c r="A60" s="11" t="s">
        <v>99</v>
      </c>
      <c r="B60" s="5" t="s">
        <v>54</v>
      </c>
      <c r="C60" s="6">
        <v>2</v>
      </c>
      <c r="D60" s="14">
        <v>43514</v>
      </c>
      <c r="E60" s="8">
        <v>2</v>
      </c>
      <c r="F60" s="7">
        <v>43466</v>
      </c>
      <c r="G60" s="8">
        <v>48</v>
      </c>
      <c r="H60" s="8" t="s">
        <v>89</v>
      </c>
      <c r="I60" s="9">
        <v>16.3</v>
      </c>
      <c r="J60" s="9">
        <v>61.8</v>
      </c>
      <c r="K60" s="9">
        <v>6.05</v>
      </c>
      <c r="L60" s="8">
        <v>199.5</v>
      </c>
      <c r="M60" s="8">
        <v>166.4</v>
      </c>
      <c r="N60" s="9">
        <v>7.22</v>
      </c>
      <c r="O60" s="8">
        <v>0.78800000000000003</v>
      </c>
      <c r="P60" s="8">
        <f>SUM(Table39[[#This Row],[Chironominae ]:[Hydrachnidia]])</f>
        <v>8</v>
      </c>
      <c r="Q60" s="4">
        <v>0</v>
      </c>
      <c r="R60" s="4">
        <v>0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4</v>
      </c>
      <c r="AC60" s="4">
        <v>0</v>
      </c>
      <c r="AD60" s="4">
        <v>0</v>
      </c>
      <c r="AE60" s="4">
        <v>0</v>
      </c>
      <c r="AF60" s="4">
        <v>0</v>
      </c>
      <c r="AG60" s="4">
        <v>1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</row>
    <row r="61" spans="1:48" x14ac:dyDescent="0.2">
      <c r="A61" s="12" t="s">
        <v>100</v>
      </c>
      <c r="B61" s="6" t="s">
        <v>54</v>
      </c>
      <c r="C61" s="6">
        <v>2</v>
      </c>
      <c r="D61" s="14">
        <v>43514</v>
      </c>
      <c r="E61" s="8">
        <v>3</v>
      </c>
      <c r="F61" s="7">
        <v>43466</v>
      </c>
      <c r="G61" s="8">
        <v>48</v>
      </c>
      <c r="H61" s="8" t="s">
        <v>89</v>
      </c>
      <c r="I61" s="9">
        <v>16.3</v>
      </c>
      <c r="J61" s="9">
        <v>61.8</v>
      </c>
      <c r="K61" s="9">
        <v>6.05</v>
      </c>
      <c r="L61" s="8">
        <v>199.5</v>
      </c>
      <c r="M61" s="8">
        <v>166.4</v>
      </c>
      <c r="N61" s="9">
        <v>7.22</v>
      </c>
      <c r="O61" s="8">
        <v>0.78800000000000003</v>
      </c>
      <c r="P61" s="8">
        <f>SUM(Table39[[#This Row],[Chironominae ]:[Hydrachnidia]])</f>
        <v>15</v>
      </c>
      <c r="Q61" s="4">
        <v>10</v>
      </c>
      <c r="R61" s="4">
        <v>2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0</v>
      </c>
      <c r="AE61" s="4">
        <v>0</v>
      </c>
      <c r="AF61" s="4">
        <v>1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</row>
    <row r="62" spans="1:48" x14ac:dyDescent="0.2">
      <c r="A62" s="6"/>
      <c r="B62" s="6" t="s">
        <v>49</v>
      </c>
      <c r="C62" s="6">
        <v>4</v>
      </c>
      <c r="D62" s="14">
        <v>43514</v>
      </c>
      <c r="E62" s="8">
        <v>1</v>
      </c>
      <c r="F62" s="7">
        <v>43466</v>
      </c>
      <c r="G62" s="8">
        <v>48</v>
      </c>
      <c r="H62" s="8" t="s">
        <v>89</v>
      </c>
      <c r="I62" s="9">
        <v>15.5</v>
      </c>
      <c r="J62" s="9">
        <v>155.69999999999999</v>
      </c>
      <c r="K62" s="9">
        <v>15.54</v>
      </c>
      <c r="L62" s="8">
        <v>191</v>
      </c>
      <c r="M62" s="8">
        <v>156.4</v>
      </c>
      <c r="N62" s="9">
        <v>8.07</v>
      </c>
      <c r="O62" s="8">
        <v>0.85699999999999998</v>
      </c>
      <c r="P62" s="8">
        <f>SUM(Table39[[#This Row],[Chironominae ]:[Hydrachnidia]])</f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</row>
    <row r="63" spans="1:48" ht="17" customHeight="1" x14ac:dyDescent="0.2">
      <c r="A63" s="11" t="s">
        <v>101</v>
      </c>
      <c r="B63" s="6" t="s">
        <v>49</v>
      </c>
      <c r="C63" s="6">
        <v>4</v>
      </c>
      <c r="D63" s="14">
        <v>43514</v>
      </c>
      <c r="E63" s="8">
        <v>2</v>
      </c>
      <c r="F63" s="7">
        <v>43466</v>
      </c>
      <c r="G63" s="8">
        <v>48</v>
      </c>
      <c r="H63" s="8" t="s">
        <v>89</v>
      </c>
      <c r="I63" s="9">
        <v>15.5</v>
      </c>
      <c r="J63" s="9">
        <v>155.69999999999999</v>
      </c>
      <c r="K63" s="9">
        <v>15.54</v>
      </c>
      <c r="L63" s="8">
        <v>191</v>
      </c>
      <c r="M63" s="8">
        <v>156.4</v>
      </c>
      <c r="N63" s="9">
        <v>8.07</v>
      </c>
      <c r="O63" s="8">
        <v>0.85699999999999998</v>
      </c>
      <c r="P63" s="8">
        <f>SUM(Table39[[#This Row],[Chironominae ]:[Hydrachnidia]])</f>
        <v>264</v>
      </c>
      <c r="Q63" s="4">
        <v>13</v>
      </c>
      <c r="R63" s="4">
        <v>73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2</v>
      </c>
      <c r="Y63" s="4">
        <v>0</v>
      </c>
      <c r="Z63" s="4">
        <v>0</v>
      </c>
      <c r="AA63" s="4">
        <v>100</v>
      </c>
      <c r="AB63" s="4">
        <v>72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3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</row>
    <row r="64" spans="1:48" x14ac:dyDescent="0.2">
      <c r="A64" s="6"/>
      <c r="B64" s="6" t="s">
        <v>49</v>
      </c>
      <c r="C64" s="6">
        <v>4</v>
      </c>
      <c r="D64" s="14">
        <v>43514</v>
      </c>
      <c r="E64" s="8">
        <v>3</v>
      </c>
      <c r="F64" s="7">
        <v>43466</v>
      </c>
      <c r="G64" s="8">
        <v>48</v>
      </c>
      <c r="H64" s="8" t="s">
        <v>89</v>
      </c>
      <c r="I64" s="9">
        <v>15.5</v>
      </c>
      <c r="J64" s="9">
        <v>155.69999999999999</v>
      </c>
      <c r="K64" s="9">
        <v>15.54</v>
      </c>
      <c r="L64" s="8">
        <v>191</v>
      </c>
      <c r="M64" s="8">
        <v>156.4</v>
      </c>
      <c r="N64" s="9">
        <v>8.07</v>
      </c>
      <c r="O64" s="8">
        <v>0.85699999999999998</v>
      </c>
      <c r="P64" s="8">
        <f>SUM(Table39[[#This Row],[Chironominae ]:[Hydrachnidia]])</f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</row>
    <row r="65" spans="1:48" x14ac:dyDescent="0.2">
      <c r="A65" s="12" t="s">
        <v>102</v>
      </c>
      <c r="B65" s="6" t="s">
        <v>54</v>
      </c>
      <c r="C65" s="6">
        <v>7</v>
      </c>
      <c r="D65" s="7">
        <v>43514</v>
      </c>
      <c r="E65" s="8">
        <v>1</v>
      </c>
      <c r="F65" s="7">
        <v>43466</v>
      </c>
      <c r="G65" s="8">
        <v>48</v>
      </c>
      <c r="H65" s="8" t="s">
        <v>89</v>
      </c>
      <c r="I65" s="9">
        <v>16.100000000000001</v>
      </c>
      <c r="J65" s="9">
        <v>78.5</v>
      </c>
      <c r="K65" s="9">
        <v>7.73</v>
      </c>
      <c r="L65" s="8">
        <v>207.1</v>
      </c>
      <c r="M65" s="8">
        <v>171.9</v>
      </c>
      <c r="N65" s="9">
        <v>7.57</v>
      </c>
      <c r="O65" s="8">
        <v>0.79100000000000004</v>
      </c>
      <c r="P65" s="8">
        <f>SUM(Table39[[#This Row],[Chironominae ]:[Hydrachnidia]])</f>
        <v>175</v>
      </c>
      <c r="Q65" s="4">
        <v>124</v>
      </c>
      <c r="R65" s="4">
        <v>9</v>
      </c>
      <c r="S65" s="4">
        <v>0</v>
      </c>
      <c r="T65" s="4">
        <v>2</v>
      </c>
      <c r="U65" s="4">
        <v>0</v>
      </c>
      <c r="V65" s="4">
        <v>2</v>
      </c>
      <c r="W65" s="4">
        <v>0</v>
      </c>
      <c r="X65" s="4">
        <v>32</v>
      </c>
      <c r="Y65" s="4">
        <v>0</v>
      </c>
      <c r="Z65" s="4">
        <v>0</v>
      </c>
      <c r="AA65" s="4">
        <v>1</v>
      </c>
      <c r="AB65" s="4">
        <v>2</v>
      </c>
      <c r="AC65" s="4">
        <v>0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1</v>
      </c>
      <c r="AS65" s="4">
        <v>0</v>
      </c>
      <c r="AT65" s="4">
        <v>0</v>
      </c>
      <c r="AU65" s="4">
        <v>0</v>
      </c>
      <c r="AV65" s="4">
        <v>1</v>
      </c>
    </row>
    <row r="66" spans="1:48" x14ac:dyDescent="0.2">
      <c r="A66" s="12" t="s">
        <v>103</v>
      </c>
      <c r="B66" s="6" t="s">
        <v>54</v>
      </c>
      <c r="C66" s="6">
        <v>7</v>
      </c>
      <c r="D66" s="7">
        <v>43514</v>
      </c>
      <c r="E66" s="8">
        <v>2</v>
      </c>
      <c r="F66" s="7">
        <v>43466</v>
      </c>
      <c r="G66" s="8">
        <v>48</v>
      </c>
      <c r="H66" s="8" t="s">
        <v>89</v>
      </c>
      <c r="I66" s="9">
        <v>16.100000000000001</v>
      </c>
      <c r="J66" s="9">
        <v>78.5</v>
      </c>
      <c r="K66" s="9">
        <v>7.73</v>
      </c>
      <c r="L66" s="8">
        <v>207.1</v>
      </c>
      <c r="M66" s="8">
        <v>171.9</v>
      </c>
      <c r="N66" s="9">
        <v>7.57</v>
      </c>
      <c r="O66" s="8">
        <v>0.79100000000000004</v>
      </c>
      <c r="P66" s="8">
        <f>SUM(Table39[[#This Row],[Chironominae ]:[Hydrachnidia]])</f>
        <v>38</v>
      </c>
      <c r="Q66" s="4">
        <v>24</v>
      </c>
      <c r="R66" s="4">
        <v>1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2</v>
      </c>
      <c r="Y66" s="4">
        <v>0</v>
      </c>
      <c r="Z66" s="4">
        <v>0</v>
      </c>
      <c r="AA66" s="4">
        <v>8</v>
      </c>
      <c r="AB66" s="4">
        <v>1</v>
      </c>
      <c r="AC66" s="4">
        <v>0</v>
      </c>
      <c r="AD66" s="4">
        <v>0</v>
      </c>
      <c r="AE66" s="4">
        <v>0</v>
      </c>
      <c r="AF66" s="4">
        <v>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1</v>
      </c>
      <c r="AS66" s="4">
        <v>0</v>
      </c>
      <c r="AT66" s="4">
        <v>0</v>
      </c>
      <c r="AU66" s="4">
        <v>0</v>
      </c>
      <c r="AV66" s="4">
        <v>0</v>
      </c>
    </row>
    <row r="67" spans="1:48" x14ac:dyDescent="0.2">
      <c r="A67" s="12" t="s">
        <v>104</v>
      </c>
      <c r="B67" s="6" t="s">
        <v>54</v>
      </c>
      <c r="C67" s="6">
        <v>7</v>
      </c>
      <c r="D67" s="7">
        <v>43514</v>
      </c>
      <c r="E67" s="8">
        <v>3</v>
      </c>
      <c r="F67" s="7">
        <v>43466</v>
      </c>
      <c r="G67" s="8">
        <v>48</v>
      </c>
      <c r="H67" s="8" t="s">
        <v>89</v>
      </c>
      <c r="I67" s="9">
        <v>16.100000000000001</v>
      </c>
      <c r="J67" s="9">
        <v>78.5</v>
      </c>
      <c r="K67" s="9">
        <v>7.73</v>
      </c>
      <c r="L67" s="8">
        <v>207.1</v>
      </c>
      <c r="M67" s="8">
        <v>171.9</v>
      </c>
      <c r="N67" s="9">
        <v>7.57</v>
      </c>
      <c r="O67" s="8">
        <v>0.79100000000000004</v>
      </c>
      <c r="P67" s="8">
        <f>SUM(Table39[[#This Row],[Chironominae ]:[Hydrachnidia]])</f>
        <v>20</v>
      </c>
      <c r="Q67" s="4">
        <v>4</v>
      </c>
      <c r="R67" s="4">
        <v>8</v>
      </c>
      <c r="S67" s="4">
        <v>0</v>
      </c>
      <c r="T67" s="4">
        <v>2</v>
      </c>
      <c r="U67" s="4">
        <v>0</v>
      </c>
      <c r="V67" s="4">
        <v>1</v>
      </c>
      <c r="W67" s="4">
        <v>0</v>
      </c>
      <c r="X67" s="4">
        <v>1</v>
      </c>
      <c r="Y67" s="4">
        <v>0</v>
      </c>
      <c r="Z67" s="4">
        <v>0</v>
      </c>
      <c r="AA67" s="4">
        <v>4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</row>
    <row r="68" spans="1:48" x14ac:dyDescent="0.2">
      <c r="A68" s="6"/>
      <c r="B68" s="6" t="s">
        <v>54</v>
      </c>
      <c r="C68" s="6">
        <v>10</v>
      </c>
      <c r="D68" s="7">
        <v>43514</v>
      </c>
      <c r="E68" s="8">
        <v>1</v>
      </c>
      <c r="F68" s="7">
        <v>43466</v>
      </c>
      <c r="G68" s="8">
        <v>48</v>
      </c>
      <c r="H68" s="8" t="s">
        <v>89</v>
      </c>
      <c r="I68" s="9">
        <v>16.5</v>
      </c>
      <c r="J68" s="9">
        <v>105.5</v>
      </c>
      <c r="K68" s="9">
        <v>10.29</v>
      </c>
      <c r="L68" s="8">
        <v>190.5</v>
      </c>
      <c r="M68" s="8">
        <v>159.6</v>
      </c>
      <c r="N68" s="9">
        <v>7.52</v>
      </c>
      <c r="O68" s="8">
        <v>0.87</v>
      </c>
      <c r="P68" s="8">
        <f>SUM(Table39[[#This Row],[Chironominae ]:[Hydrachnidia]])</f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</row>
    <row r="69" spans="1:48" x14ac:dyDescent="0.2">
      <c r="A69" s="11" t="s">
        <v>105</v>
      </c>
      <c r="B69" s="6" t="s">
        <v>54</v>
      </c>
      <c r="C69" s="6">
        <v>10</v>
      </c>
      <c r="D69" s="7">
        <v>43514</v>
      </c>
      <c r="E69" s="8">
        <v>2</v>
      </c>
      <c r="F69" s="7">
        <v>43466</v>
      </c>
      <c r="G69" s="8">
        <v>48</v>
      </c>
      <c r="H69" s="8" t="s">
        <v>89</v>
      </c>
      <c r="I69" s="9">
        <v>16.5</v>
      </c>
      <c r="J69" s="9">
        <v>105.5</v>
      </c>
      <c r="K69" s="9">
        <v>10.29</v>
      </c>
      <c r="L69" s="8">
        <v>190.5</v>
      </c>
      <c r="M69" s="8">
        <v>159.6</v>
      </c>
      <c r="N69" s="9">
        <v>7.52</v>
      </c>
      <c r="O69" s="8">
        <v>0.87</v>
      </c>
      <c r="P69" s="8">
        <f>SUM(Table39[[#This Row],[Chironominae ]:[Hydrachnidia]])</f>
        <v>60</v>
      </c>
      <c r="Q69" s="4">
        <v>10</v>
      </c>
      <c r="R69" s="4">
        <v>29</v>
      </c>
      <c r="S69" s="4">
        <v>0</v>
      </c>
      <c r="T69" s="4">
        <v>0</v>
      </c>
      <c r="U69" s="4">
        <v>0</v>
      </c>
      <c r="V69" s="4">
        <v>6</v>
      </c>
      <c r="W69" s="4">
        <v>0</v>
      </c>
      <c r="X69" s="4">
        <v>5</v>
      </c>
      <c r="Y69" s="4">
        <v>0</v>
      </c>
      <c r="Z69" s="4">
        <v>0</v>
      </c>
      <c r="AA69" s="4">
        <v>9</v>
      </c>
      <c r="AB69" s="4">
        <v>1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</row>
    <row r="70" spans="1:48" x14ac:dyDescent="0.2">
      <c r="A70" s="12" t="s">
        <v>106</v>
      </c>
      <c r="B70" s="6" t="s">
        <v>54</v>
      </c>
      <c r="C70" s="6">
        <v>10</v>
      </c>
      <c r="D70" s="7">
        <v>43514</v>
      </c>
      <c r="E70" s="8">
        <v>3</v>
      </c>
      <c r="F70" s="7">
        <v>43466</v>
      </c>
      <c r="G70" s="8">
        <v>48</v>
      </c>
      <c r="H70" s="8" t="s">
        <v>89</v>
      </c>
      <c r="I70" s="9">
        <v>16.5</v>
      </c>
      <c r="J70" s="9">
        <v>105.5</v>
      </c>
      <c r="K70" s="9">
        <v>10.29</v>
      </c>
      <c r="L70" s="8">
        <v>190.5</v>
      </c>
      <c r="M70" s="8">
        <v>159.6</v>
      </c>
      <c r="N70" s="9">
        <v>7.52</v>
      </c>
      <c r="O70" s="8">
        <v>0.87</v>
      </c>
      <c r="P70" s="8">
        <f>SUM(Table39[[#This Row],[Chironominae ]:[Hydrachnidia]])</f>
        <v>162</v>
      </c>
      <c r="Q70" s="4">
        <v>24</v>
      </c>
      <c r="R70" s="4">
        <v>9</v>
      </c>
      <c r="S70" s="4">
        <v>49</v>
      </c>
      <c r="T70" s="4">
        <v>0</v>
      </c>
      <c r="U70" s="4">
        <v>0</v>
      </c>
      <c r="V70" s="4">
        <v>0</v>
      </c>
      <c r="W70" s="4">
        <v>0</v>
      </c>
      <c r="X70" s="4">
        <v>48</v>
      </c>
      <c r="Y70" s="4">
        <v>0</v>
      </c>
      <c r="Z70" s="4">
        <v>0</v>
      </c>
      <c r="AA70" s="4">
        <v>15</v>
      </c>
      <c r="AB70" s="4">
        <v>17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</row>
    <row r="71" spans="1:48" x14ac:dyDescent="0.2">
      <c r="B71" s="6" t="s">
        <v>54</v>
      </c>
      <c r="C71" s="6">
        <v>7</v>
      </c>
      <c r="D71" s="7">
        <v>43528</v>
      </c>
      <c r="E71" s="8">
        <v>1</v>
      </c>
      <c r="F71" s="7">
        <v>43466</v>
      </c>
      <c r="G71" s="8">
        <v>62</v>
      </c>
      <c r="H71" s="8" t="s">
        <v>89</v>
      </c>
      <c r="I71" s="8" t="e">
        <v>#N/A</v>
      </c>
      <c r="J71" s="8" t="e">
        <v>#N/A</v>
      </c>
      <c r="K71" s="8" t="e">
        <v>#N/A</v>
      </c>
      <c r="L71" s="8" t="e">
        <v>#N/A</v>
      </c>
      <c r="M71" s="8" t="e">
        <v>#N/A</v>
      </c>
      <c r="N71" s="8" t="e">
        <v>#N/A</v>
      </c>
      <c r="O71" s="8" t="e">
        <v>#N/A</v>
      </c>
      <c r="P71" s="8">
        <f>SUM(Table39[[#This Row],[Chironominae ]:[Hydrachnidia]])</f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</row>
    <row r="72" spans="1:48" x14ac:dyDescent="0.2">
      <c r="A72" s="6"/>
      <c r="B72" s="6" t="s">
        <v>54</v>
      </c>
      <c r="C72" s="6">
        <v>7</v>
      </c>
      <c r="D72" s="7">
        <v>43528</v>
      </c>
      <c r="E72" s="8">
        <v>2</v>
      </c>
      <c r="F72" s="7">
        <v>43466</v>
      </c>
      <c r="G72" s="8">
        <v>62</v>
      </c>
      <c r="H72" s="8" t="s">
        <v>89</v>
      </c>
      <c r="I72" s="8" t="e">
        <v>#N/A</v>
      </c>
      <c r="J72" s="8" t="e">
        <v>#N/A</v>
      </c>
      <c r="K72" s="8" t="e">
        <v>#N/A</v>
      </c>
      <c r="L72" s="8" t="e">
        <v>#N/A</v>
      </c>
      <c r="M72" s="8" t="e">
        <v>#N/A</v>
      </c>
      <c r="N72" s="8" t="e">
        <v>#N/A</v>
      </c>
      <c r="O72" s="8" t="e">
        <v>#N/A</v>
      </c>
      <c r="P72" s="8">
        <f>SUM(Table39[[#This Row],[Chironominae ]:[Hydrachnidia]])</f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</row>
    <row r="73" spans="1:48" x14ac:dyDescent="0.2">
      <c r="A73" s="12" t="s">
        <v>107</v>
      </c>
      <c r="B73" s="6" t="s">
        <v>54</v>
      </c>
      <c r="C73" s="6">
        <v>7</v>
      </c>
      <c r="D73" s="7">
        <v>43528</v>
      </c>
      <c r="E73" s="8">
        <v>3</v>
      </c>
      <c r="F73" s="7">
        <v>43466</v>
      </c>
      <c r="G73" s="8">
        <v>62</v>
      </c>
      <c r="H73" s="8" t="s">
        <v>89</v>
      </c>
      <c r="I73" s="8" t="e">
        <v>#N/A</v>
      </c>
      <c r="J73" s="8" t="e">
        <v>#N/A</v>
      </c>
      <c r="K73" s="8" t="e">
        <v>#N/A</v>
      </c>
      <c r="L73" s="8" t="e">
        <v>#N/A</v>
      </c>
      <c r="M73" s="8" t="e">
        <v>#N/A</v>
      </c>
      <c r="N73" s="8" t="e">
        <v>#N/A</v>
      </c>
      <c r="O73" s="8" t="e">
        <v>#N/A</v>
      </c>
      <c r="P73" s="8">
        <f>SUM(Table39[[#This Row],[Chironominae ]:[Hydrachnidia]])</f>
        <v>82</v>
      </c>
      <c r="Q73" s="4">
        <v>0</v>
      </c>
      <c r="R73" s="4">
        <v>4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71</v>
      </c>
      <c r="AC73" s="4">
        <v>0</v>
      </c>
      <c r="AD73" s="4">
        <v>0</v>
      </c>
      <c r="AE73" s="4">
        <v>0</v>
      </c>
      <c r="AF73" s="4">
        <v>3</v>
      </c>
      <c r="AG73" s="4">
        <v>0</v>
      </c>
      <c r="AH73" s="4">
        <v>0</v>
      </c>
      <c r="AI73" s="4">
        <v>2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</row>
    <row r="74" spans="1:48" x14ac:dyDescent="0.2">
      <c r="A74" s="11" t="s">
        <v>108</v>
      </c>
      <c r="B74" s="6" t="s">
        <v>49</v>
      </c>
      <c r="C74" s="6">
        <v>11</v>
      </c>
      <c r="D74" s="7">
        <v>43528</v>
      </c>
      <c r="E74" s="8">
        <v>1</v>
      </c>
      <c r="F74" s="7">
        <v>43466</v>
      </c>
      <c r="G74" s="8">
        <v>62</v>
      </c>
      <c r="H74" s="8" t="s">
        <v>89</v>
      </c>
      <c r="I74" s="8" t="e">
        <v>#N/A</v>
      </c>
      <c r="J74" s="8" t="e">
        <v>#N/A</v>
      </c>
      <c r="K74" s="8" t="e">
        <v>#N/A</v>
      </c>
      <c r="L74" s="8" t="e">
        <v>#N/A</v>
      </c>
      <c r="M74" s="8" t="e">
        <v>#N/A</v>
      </c>
      <c r="N74" s="8" t="e">
        <v>#N/A</v>
      </c>
      <c r="O74" s="8" t="e">
        <v>#N/A</v>
      </c>
      <c r="P74" s="8">
        <f>SUM(Table39[[#This Row],[Chironominae ]:[Hydrachnidia]])</f>
        <v>81</v>
      </c>
      <c r="Q74" s="4">
        <v>7</v>
      </c>
      <c r="R74" s="4">
        <v>19</v>
      </c>
      <c r="S74" s="4">
        <v>0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3</v>
      </c>
      <c r="Z74" s="4">
        <v>0</v>
      </c>
      <c r="AA74" s="4">
        <v>1</v>
      </c>
      <c r="AB74" s="4">
        <v>1</v>
      </c>
      <c r="AC74" s="4">
        <v>0</v>
      </c>
      <c r="AD74" s="4">
        <v>0</v>
      </c>
      <c r="AE74" s="4">
        <v>0</v>
      </c>
      <c r="AF74" s="4">
        <v>1</v>
      </c>
      <c r="AG74" s="4">
        <v>0</v>
      </c>
      <c r="AH74" s="4">
        <v>0</v>
      </c>
      <c r="AI74" s="4">
        <v>44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2</v>
      </c>
      <c r="AQ74" s="4">
        <v>1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</row>
    <row r="75" spans="1:48" x14ac:dyDescent="0.2">
      <c r="A75" s="12" t="s">
        <v>109</v>
      </c>
      <c r="B75" s="6" t="s">
        <v>49</v>
      </c>
      <c r="C75" s="6">
        <v>11</v>
      </c>
      <c r="D75" s="7">
        <v>43528</v>
      </c>
      <c r="E75" s="8">
        <v>2</v>
      </c>
      <c r="F75" s="7">
        <v>43466</v>
      </c>
      <c r="G75" s="8">
        <v>62</v>
      </c>
      <c r="H75" s="8" t="s">
        <v>89</v>
      </c>
      <c r="I75" s="8" t="e">
        <v>#N/A</v>
      </c>
      <c r="J75" s="8" t="e">
        <v>#N/A</v>
      </c>
      <c r="K75" s="8" t="e">
        <v>#N/A</v>
      </c>
      <c r="L75" s="8" t="e">
        <v>#N/A</v>
      </c>
      <c r="M75" s="8" t="e">
        <v>#N/A</v>
      </c>
      <c r="N75" s="8" t="e">
        <v>#N/A</v>
      </c>
      <c r="O75" s="8" t="e">
        <v>#N/A</v>
      </c>
      <c r="P75" s="8">
        <f>SUM(Table39[[#This Row],[Chironominae ]:[Hydrachnidia]])</f>
        <v>68</v>
      </c>
      <c r="Q75" s="4">
        <v>11</v>
      </c>
      <c r="R75" s="4">
        <v>17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9</v>
      </c>
      <c r="Y75" s="4">
        <v>1</v>
      </c>
      <c r="Z75" s="4">
        <v>0</v>
      </c>
      <c r="AA75" s="4">
        <v>19</v>
      </c>
      <c r="AB75" s="4">
        <v>1</v>
      </c>
      <c r="AC75" s="4">
        <v>0</v>
      </c>
      <c r="AD75" s="4">
        <v>0</v>
      </c>
      <c r="AE75" s="4">
        <v>0</v>
      </c>
      <c r="AF75" s="4">
        <v>4</v>
      </c>
      <c r="AG75" s="4">
        <v>0</v>
      </c>
      <c r="AH75" s="4">
        <v>0</v>
      </c>
      <c r="AI75" s="4">
        <v>6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</row>
    <row r="76" spans="1:48" x14ac:dyDescent="0.2">
      <c r="A76" s="11" t="s">
        <v>110</v>
      </c>
      <c r="B76" s="6" t="s">
        <v>49</v>
      </c>
      <c r="C76" s="6">
        <v>11</v>
      </c>
      <c r="D76" s="7">
        <v>43528</v>
      </c>
      <c r="E76" s="8">
        <v>3</v>
      </c>
      <c r="F76" s="7">
        <v>43466</v>
      </c>
      <c r="G76" s="8">
        <v>62</v>
      </c>
      <c r="H76" s="8" t="s">
        <v>89</v>
      </c>
      <c r="I76" s="8" t="e">
        <v>#N/A</v>
      </c>
      <c r="J76" s="8" t="e">
        <v>#N/A</v>
      </c>
      <c r="K76" s="8" t="e">
        <v>#N/A</v>
      </c>
      <c r="L76" s="8" t="e">
        <v>#N/A</v>
      </c>
      <c r="M76" s="8" t="e">
        <v>#N/A</v>
      </c>
      <c r="N76" s="8" t="e">
        <v>#N/A</v>
      </c>
      <c r="O76" s="8" t="e">
        <v>#N/A</v>
      </c>
      <c r="P76" s="8">
        <f>SUM(Table39[[#This Row],[Chironominae ]:[Hydrachnidia]])</f>
        <v>71</v>
      </c>
      <c r="Q76" s="4">
        <v>20</v>
      </c>
      <c r="R76" s="4">
        <v>5</v>
      </c>
      <c r="S76" s="4">
        <v>0</v>
      </c>
      <c r="T76" s="4">
        <v>4</v>
      </c>
      <c r="U76" s="4">
        <v>0</v>
      </c>
      <c r="V76" s="4">
        <v>0</v>
      </c>
      <c r="W76" s="4">
        <v>0</v>
      </c>
      <c r="X76" s="4">
        <v>5</v>
      </c>
      <c r="Y76" s="4">
        <v>2</v>
      </c>
      <c r="Z76" s="4">
        <v>0</v>
      </c>
      <c r="AA76" s="4">
        <v>21</v>
      </c>
      <c r="AB76" s="4">
        <v>1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13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</row>
    <row r="77" spans="1:48" x14ac:dyDescent="0.2">
      <c r="A77" s="6"/>
      <c r="B77" s="6" t="s">
        <v>49</v>
      </c>
      <c r="C77" s="6">
        <v>1</v>
      </c>
      <c r="D77" s="14">
        <v>43548</v>
      </c>
      <c r="E77" s="8">
        <v>1</v>
      </c>
      <c r="F77" s="7">
        <v>43466</v>
      </c>
      <c r="G77" s="8">
        <v>83</v>
      </c>
      <c r="H77" s="8" t="s">
        <v>111</v>
      </c>
      <c r="I77" s="9">
        <v>18.600000000000001</v>
      </c>
      <c r="J77" s="9">
        <v>95.2</v>
      </c>
      <c r="K77" s="9">
        <v>8.89</v>
      </c>
      <c r="L77" s="8">
        <v>208.9</v>
      </c>
      <c r="M77" s="8">
        <v>183.5</v>
      </c>
      <c r="N77" s="9">
        <v>8</v>
      </c>
      <c r="O77" s="8">
        <v>0.85699999999999998</v>
      </c>
      <c r="P77" s="8">
        <f>SUM(Table39[[#This Row],[Chironominae ]:[Hydrachnidia]])</f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</row>
    <row r="78" spans="1:48" x14ac:dyDescent="0.2">
      <c r="A78" s="10" t="s">
        <v>112</v>
      </c>
      <c r="B78" s="6" t="s">
        <v>49</v>
      </c>
      <c r="C78" s="6">
        <v>1</v>
      </c>
      <c r="D78" s="14">
        <v>43548</v>
      </c>
      <c r="E78" s="8">
        <v>2</v>
      </c>
      <c r="F78" s="7">
        <v>43466</v>
      </c>
      <c r="G78" s="8">
        <v>83</v>
      </c>
      <c r="H78" s="8" t="s">
        <v>111</v>
      </c>
      <c r="I78" s="9">
        <v>18.600000000000001</v>
      </c>
      <c r="J78" s="9">
        <v>95.2</v>
      </c>
      <c r="K78" s="9">
        <v>8.89</v>
      </c>
      <c r="L78" s="8">
        <v>208.9</v>
      </c>
      <c r="M78" s="8">
        <v>183.5</v>
      </c>
      <c r="N78" s="9">
        <v>8</v>
      </c>
      <c r="O78" s="8">
        <v>0.85699999999999998</v>
      </c>
      <c r="P78" s="8">
        <f>SUM(Table39[[#This Row],[Chironominae ]:[Hydrachnidia]])</f>
        <v>22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13</v>
      </c>
      <c r="X78" s="4">
        <v>0</v>
      </c>
      <c r="Y78" s="4">
        <v>0</v>
      </c>
      <c r="Z78" s="4">
        <v>0</v>
      </c>
      <c r="AA78" s="4">
        <v>0</v>
      </c>
      <c r="AB78" s="4">
        <v>9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</row>
    <row r="79" spans="1:48" x14ac:dyDescent="0.2">
      <c r="A79" s="10" t="s">
        <v>113</v>
      </c>
      <c r="B79" s="6" t="s">
        <v>49</v>
      </c>
      <c r="C79" s="6">
        <v>1</v>
      </c>
      <c r="D79" s="14">
        <v>43548</v>
      </c>
      <c r="E79" s="8">
        <v>3</v>
      </c>
      <c r="F79" s="7">
        <v>43466</v>
      </c>
      <c r="G79" s="8">
        <v>83</v>
      </c>
      <c r="H79" s="8" t="s">
        <v>111</v>
      </c>
      <c r="I79" s="9">
        <v>18.600000000000001</v>
      </c>
      <c r="J79" s="9">
        <v>95.2</v>
      </c>
      <c r="K79" s="9">
        <v>8.89</v>
      </c>
      <c r="L79" s="8">
        <v>208.9</v>
      </c>
      <c r="M79" s="8">
        <v>183.5</v>
      </c>
      <c r="N79" s="9">
        <v>8</v>
      </c>
      <c r="O79" s="8">
        <v>0.85699999999999998</v>
      </c>
      <c r="P79" s="8">
        <f>SUM(Table39[[#This Row],[Chironominae ]:[Hydrachnidia]])</f>
        <v>1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</row>
    <row r="80" spans="1:48" x14ac:dyDescent="0.2">
      <c r="A80" s="6" t="s">
        <v>114</v>
      </c>
      <c r="B80" s="6" t="s">
        <v>54</v>
      </c>
      <c r="C80" s="6">
        <v>2</v>
      </c>
      <c r="D80" s="14">
        <v>43548</v>
      </c>
      <c r="E80" s="8">
        <v>1</v>
      </c>
      <c r="F80" s="7">
        <v>43466</v>
      </c>
      <c r="G80" s="8">
        <v>83</v>
      </c>
      <c r="H80" s="8" t="s">
        <v>111</v>
      </c>
      <c r="I80" s="9">
        <v>17.7</v>
      </c>
      <c r="J80" s="9">
        <v>118.5</v>
      </c>
      <c r="K80" s="9">
        <v>11.28</v>
      </c>
      <c r="L80" s="8">
        <v>203</v>
      </c>
      <c r="M80" s="8">
        <v>174.8</v>
      </c>
      <c r="N80" s="9">
        <v>7.8</v>
      </c>
      <c r="O80" s="8">
        <v>0.73499999999999999</v>
      </c>
      <c r="P80" s="8">
        <f>SUM(Table39[[#This Row],[Chironominae ]:[Hydrachnidia]])</f>
        <v>63</v>
      </c>
      <c r="Q80" s="4">
        <v>2</v>
      </c>
      <c r="R80" s="4">
        <v>0</v>
      </c>
      <c r="S80" s="4">
        <v>9</v>
      </c>
      <c r="T80" s="4">
        <v>0</v>
      </c>
      <c r="U80" s="4">
        <v>12</v>
      </c>
      <c r="V80" s="4">
        <v>2</v>
      </c>
      <c r="W80" s="4">
        <v>0</v>
      </c>
      <c r="X80" s="4">
        <v>36</v>
      </c>
      <c r="Y80" s="4">
        <v>0</v>
      </c>
      <c r="Z80" s="4">
        <v>0</v>
      </c>
      <c r="AA80" s="4">
        <v>0</v>
      </c>
      <c r="AB80" s="4">
        <v>1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</row>
    <row r="81" spans="1:48" x14ac:dyDescent="0.2">
      <c r="A81" s="6" t="s">
        <v>115</v>
      </c>
      <c r="B81" s="6" t="s">
        <v>54</v>
      </c>
      <c r="C81" s="6">
        <v>2</v>
      </c>
      <c r="D81" s="14">
        <v>43548</v>
      </c>
      <c r="E81" s="8">
        <v>2</v>
      </c>
      <c r="F81" s="7">
        <v>43466</v>
      </c>
      <c r="G81" s="8">
        <v>83</v>
      </c>
      <c r="H81" s="8" t="s">
        <v>111</v>
      </c>
      <c r="I81" s="9">
        <v>17.7</v>
      </c>
      <c r="J81" s="9">
        <v>118.5</v>
      </c>
      <c r="K81" s="9">
        <v>11.28</v>
      </c>
      <c r="L81" s="8">
        <v>203</v>
      </c>
      <c r="M81" s="8">
        <v>174.8</v>
      </c>
      <c r="N81" s="9">
        <v>7.8</v>
      </c>
      <c r="O81" s="8">
        <v>0.73499999999999999</v>
      </c>
      <c r="P81" s="8">
        <f>SUM(Table39[[#This Row],[Chironominae ]:[Hydrachnidia]])</f>
        <v>1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</row>
    <row r="82" spans="1:48" x14ac:dyDescent="0.2">
      <c r="A82" s="6"/>
      <c r="B82" s="6" t="s">
        <v>54</v>
      </c>
      <c r="C82" s="6">
        <v>2</v>
      </c>
      <c r="D82" s="14">
        <v>43548</v>
      </c>
      <c r="E82" s="8">
        <v>3</v>
      </c>
      <c r="F82" s="7">
        <v>43466</v>
      </c>
      <c r="G82" s="8">
        <v>83</v>
      </c>
      <c r="H82" s="8" t="s">
        <v>111</v>
      </c>
      <c r="I82" s="9">
        <v>17.7</v>
      </c>
      <c r="J82" s="9">
        <v>118.5</v>
      </c>
      <c r="K82" s="9">
        <v>11.28</v>
      </c>
      <c r="L82" s="8">
        <v>203</v>
      </c>
      <c r="M82" s="8">
        <v>174.8</v>
      </c>
      <c r="N82" s="9">
        <v>7.8</v>
      </c>
      <c r="O82" s="8">
        <v>0.73499999999999999</v>
      </c>
      <c r="P82" s="8">
        <f>SUM(Table39[[#This Row],[Chironominae ]:[Hydrachnidia]])</f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</row>
    <row r="83" spans="1:48" x14ac:dyDescent="0.2">
      <c r="A83" s="6" t="s">
        <v>116</v>
      </c>
      <c r="B83" s="6" t="s">
        <v>49</v>
      </c>
      <c r="C83" s="6">
        <v>4</v>
      </c>
      <c r="D83" s="14">
        <v>43548</v>
      </c>
      <c r="E83" s="8">
        <v>1</v>
      </c>
      <c r="F83" s="7">
        <v>43466</v>
      </c>
      <c r="G83" s="8">
        <v>83</v>
      </c>
      <c r="H83" s="8" t="s">
        <v>111</v>
      </c>
      <c r="I83" s="9">
        <v>16.2</v>
      </c>
      <c r="J83" s="9">
        <v>130.19999999999999</v>
      </c>
      <c r="K83" s="9">
        <v>12.78</v>
      </c>
      <c r="L83" s="8">
        <v>193.4</v>
      </c>
      <c r="M83" s="8">
        <v>161</v>
      </c>
      <c r="N83" s="9">
        <v>7.83</v>
      </c>
      <c r="O83" s="8">
        <v>0.84799999999999998</v>
      </c>
      <c r="P83" s="8">
        <f>SUM(Table39[[#This Row],[Chironominae ]:[Hydrachnidia]])</f>
        <v>219</v>
      </c>
      <c r="Q83" s="4">
        <v>2</v>
      </c>
      <c r="R83" s="4">
        <v>0</v>
      </c>
      <c r="S83" s="4">
        <v>209</v>
      </c>
      <c r="T83" s="4">
        <v>0</v>
      </c>
      <c r="U83" s="4">
        <v>0</v>
      </c>
      <c r="V83" s="4">
        <v>0</v>
      </c>
      <c r="W83" s="4">
        <v>1</v>
      </c>
      <c r="X83" s="4">
        <v>1</v>
      </c>
      <c r="Y83" s="4">
        <v>5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</row>
    <row r="84" spans="1:48" x14ac:dyDescent="0.2">
      <c r="A84" s="6" t="s">
        <v>117</v>
      </c>
      <c r="B84" s="6" t="s">
        <v>49</v>
      </c>
      <c r="C84" s="6">
        <v>4</v>
      </c>
      <c r="D84" s="14">
        <v>43548</v>
      </c>
      <c r="E84" s="8">
        <v>2</v>
      </c>
      <c r="F84" s="7">
        <v>43466</v>
      </c>
      <c r="G84" s="8">
        <v>83</v>
      </c>
      <c r="H84" s="8" t="s">
        <v>111</v>
      </c>
      <c r="I84" s="9">
        <v>16.2</v>
      </c>
      <c r="J84" s="9">
        <v>130.19999999999999</v>
      </c>
      <c r="K84" s="9">
        <v>12.78</v>
      </c>
      <c r="L84" s="8">
        <v>193.4</v>
      </c>
      <c r="M84" s="8">
        <v>161</v>
      </c>
      <c r="N84" s="9">
        <v>7.83</v>
      </c>
      <c r="O84" s="8">
        <v>0.84799999999999998</v>
      </c>
      <c r="P84" s="8">
        <f>SUM(Table39[[#This Row],[Chironominae ]:[Hydrachnidia]])</f>
        <v>126</v>
      </c>
      <c r="Q84" s="4">
        <v>1</v>
      </c>
      <c r="R84" s="4">
        <v>100</v>
      </c>
      <c r="S84" s="4">
        <v>0</v>
      </c>
      <c r="T84" s="4">
        <v>0</v>
      </c>
      <c r="U84" s="4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19</v>
      </c>
      <c r="AB84" s="4">
        <v>5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</row>
    <row r="85" spans="1:48" x14ac:dyDescent="0.2">
      <c r="A85" s="10" t="s">
        <v>118</v>
      </c>
      <c r="B85" s="6" t="s">
        <v>49</v>
      </c>
      <c r="C85" s="6">
        <v>4</v>
      </c>
      <c r="D85" s="14">
        <v>43548</v>
      </c>
      <c r="E85" s="8">
        <v>3</v>
      </c>
      <c r="F85" s="7">
        <v>43466</v>
      </c>
      <c r="G85" s="8">
        <v>83</v>
      </c>
      <c r="H85" s="8" t="s">
        <v>111</v>
      </c>
      <c r="I85" s="9">
        <v>16.2</v>
      </c>
      <c r="J85" s="9">
        <v>130.19999999999999</v>
      </c>
      <c r="K85" s="9">
        <v>12.78</v>
      </c>
      <c r="L85" s="8">
        <v>193.4</v>
      </c>
      <c r="M85" s="8">
        <v>161</v>
      </c>
      <c r="N85" s="9">
        <v>7.83</v>
      </c>
      <c r="O85" s="8">
        <v>0.84799999999999998</v>
      </c>
      <c r="P85" s="8">
        <f>SUM(Table39[[#This Row],[Chironominae ]:[Hydrachnidia]])</f>
        <v>59</v>
      </c>
      <c r="Q85" s="4">
        <v>7</v>
      </c>
      <c r="R85" s="4">
        <v>17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28</v>
      </c>
      <c r="Y85" s="4">
        <v>0</v>
      </c>
      <c r="Z85" s="4">
        <v>0</v>
      </c>
      <c r="AA85" s="4">
        <v>7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</row>
    <row r="86" spans="1:48" x14ac:dyDescent="0.2">
      <c r="A86" s="12" t="s">
        <v>119</v>
      </c>
      <c r="B86" s="6" t="s">
        <v>49</v>
      </c>
      <c r="C86" s="6">
        <v>5</v>
      </c>
      <c r="D86" s="14">
        <v>43548</v>
      </c>
      <c r="E86" s="8">
        <v>1</v>
      </c>
      <c r="F86" s="7">
        <v>43466</v>
      </c>
      <c r="G86" s="8">
        <v>83</v>
      </c>
      <c r="H86" s="8" t="s">
        <v>111</v>
      </c>
      <c r="I86" s="9">
        <v>18.8</v>
      </c>
      <c r="J86" s="9">
        <v>87.8</v>
      </c>
      <c r="K86" s="9">
        <v>8.17</v>
      </c>
      <c r="L86" s="8">
        <v>208.5</v>
      </c>
      <c r="M86" s="8">
        <v>183.7</v>
      </c>
      <c r="N86" s="9">
        <v>7.84</v>
      </c>
      <c r="O86" s="8">
        <v>0.84899999999999998</v>
      </c>
      <c r="P86" s="8">
        <f>SUM(Table39[[#This Row],[Chironominae ]:[Hydrachnidia]])</f>
        <v>1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</row>
    <row r="87" spans="1:48" x14ac:dyDescent="0.2">
      <c r="A87" s="11" t="s">
        <v>120</v>
      </c>
      <c r="B87" s="6" t="s">
        <v>49</v>
      </c>
      <c r="C87" s="6">
        <v>5</v>
      </c>
      <c r="D87" s="14">
        <v>43548</v>
      </c>
      <c r="E87" s="8">
        <v>2</v>
      </c>
      <c r="F87" s="7">
        <v>43466</v>
      </c>
      <c r="G87" s="8">
        <v>83</v>
      </c>
      <c r="H87" s="8" t="s">
        <v>111</v>
      </c>
      <c r="I87" s="9">
        <v>18.8</v>
      </c>
      <c r="J87" s="9">
        <v>87.8</v>
      </c>
      <c r="K87" s="9">
        <v>8.17</v>
      </c>
      <c r="L87" s="8">
        <v>208.5</v>
      </c>
      <c r="M87" s="8">
        <v>183.7</v>
      </c>
      <c r="N87" s="9">
        <v>7.84</v>
      </c>
      <c r="O87" s="8">
        <v>0.84899999999999998</v>
      </c>
      <c r="P87" s="8">
        <f>SUM(Table39[[#This Row],[Chironominae ]:[Hydrachnidia]])</f>
        <v>1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</row>
    <row r="88" spans="1:48" x14ac:dyDescent="0.2">
      <c r="A88" s="13" t="s">
        <v>121</v>
      </c>
      <c r="B88" s="6" t="s">
        <v>49</v>
      </c>
      <c r="C88" s="6">
        <v>5</v>
      </c>
      <c r="D88" s="14">
        <v>43548</v>
      </c>
      <c r="E88" s="8">
        <v>3</v>
      </c>
      <c r="F88" s="7">
        <v>43466</v>
      </c>
      <c r="G88" s="8">
        <v>83</v>
      </c>
      <c r="H88" s="8" t="s">
        <v>111</v>
      </c>
      <c r="I88" s="9">
        <v>18.8</v>
      </c>
      <c r="J88" s="9">
        <v>87.8</v>
      </c>
      <c r="K88" s="9">
        <v>8.17</v>
      </c>
      <c r="L88" s="8">
        <v>208.5</v>
      </c>
      <c r="M88" s="8">
        <v>183.7</v>
      </c>
      <c r="N88" s="9">
        <v>7.84</v>
      </c>
      <c r="O88" s="8">
        <v>0.84899999999999998</v>
      </c>
      <c r="P88" s="8">
        <f>SUM(Table39[[#This Row],[Chironominae ]:[Hydrachnidia]])</f>
        <v>2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</row>
    <row r="89" spans="1:48" x14ac:dyDescent="0.2">
      <c r="A89" s="6" t="s">
        <v>122</v>
      </c>
      <c r="B89" s="6" t="s">
        <v>54</v>
      </c>
      <c r="C89" s="6">
        <v>7</v>
      </c>
      <c r="D89" s="14">
        <v>43548</v>
      </c>
      <c r="E89" s="8">
        <v>1</v>
      </c>
      <c r="F89" s="7">
        <v>43466</v>
      </c>
      <c r="G89" s="8">
        <v>83</v>
      </c>
      <c r="H89" s="8" t="s">
        <v>111</v>
      </c>
      <c r="I89" s="9">
        <v>17.3</v>
      </c>
      <c r="J89" s="9">
        <v>133.6</v>
      </c>
      <c r="K89" s="9">
        <v>12.85</v>
      </c>
      <c r="L89" s="8">
        <v>189.6</v>
      </c>
      <c r="M89" s="8">
        <v>161.6</v>
      </c>
      <c r="N89" s="9">
        <v>8.01</v>
      </c>
      <c r="O89" s="8">
        <v>0.84899999999999998</v>
      </c>
      <c r="P89" s="8">
        <f>SUM(Table39[[#This Row],[Chironominae ]:[Hydrachnidia]])</f>
        <v>45</v>
      </c>
      <c r="Q89" s="4">
        <v>1</v>
      </c>
      <c r="R89" s="4">
        <v>0</v>
      </c>
      <c r="S89" s="4">
        <v>0</v>
      </c>
      <c r="T89" s="4">
        <v>0</v>
      </c>
      <c r="U89" s="4">
        <v>1</v>
      </c>
      <c r="V89" s="4">
        <v>2</v>
      </c>
      <c r="W89" s="4">
        <v>0</v>
      </c>
      <c r="X89" s="4">
        <v>1</v>
      </c>
      <c r="Y89" s="4">
        <v>0</v>
      </c>
      <c r="Z89" s="4">
        <v>0</v>
      </c>
      <c r="AA89" s="4">
        <v>0</v>
      </c>
      <c r="AB89" s="4">
        <v>40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</row>
    <row r="90" spans="1:48" x14ac:dyDescent="0.2">
      <c r="A90" s="6" t="s">
        <v>123</v>
      </c>
      <c r="B90" s="6" t="s">
        <v>54</v>
      </c>
      <c r="C90" s="6">
        <v>7</v>
      </c>
      <c r="D90" s="14">
        <v>43548</v>
      </c>
      <c r="E90" s="8">
        <v>2</v>
      </c>
      <c r="F90" s="7">
        <v>43466</v>
      </c>
      <c r="G90" s="8">
        <v>83</v>
      </c>
      <c r="H90" s="8" t="s">
        <v>111</v>
      </c>
      <c r="I90" s="9">
        <v>17.3</v>
      </c>
      <c r="J90" s="9">
        <v>133.6</v>
      </c>
      <c r="K90" s="9">
        <v>12.85</v>
      </c>
      <c r="L90" s="8">
        <v>189.6</v>
      </c>
      <c r="M90" s="8">
        <v>161.6</v>
      </c>
      <c r="N90" s="9">
        <v>8.01</v>
      </c>
      <c r="O90" s="8">
        <v>0.84899999999999998</v>
      </c>
      <c r="P90" s="8">
        <f>SUM(Table39[[#This Row],[Chironominae ]:[Hydrachnidia]])</f>
        <v>221</v>
      </c>
      <c r="Q90" s="4">
        <v>26</v>
      </c>
      <c r="R90" s="4">
        <v>2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19</v>
      </c>
      <c r="Y90" s="4">
        <v>1</v>
      </c>
      <c r="Z90" s="4">
        <v>0</v>
      </c>
      <c r="AA90" s="4">
        <v>2</v>
      </c>
      <c r="AB90" s="4">
        <v>166</v>
      </c>
      <c r="AC90" s="4">
        <v>0</v>
      </c>
      <c r="AD90" s="4">
        <v>1</v>
      </c>
      <c r="AE90" s="4">
        <f>SUM([1]Hemerodromia!F2:J2)</f>
        <v>3</v>
      </c>
      <c r="AF90" s="4">
        <v>0</v>
      </c>
      <c r="AG90" s="4">
        <v>0</v>
      </c>
      <c r="AH90" s="4">
        <v>0</v>
      </c>
      <c r="AI90" s="4">
        <v>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</row>
    <row r="91" spans="1:48" x14ac:dyDescent="0.2">
      <c r="A91" s="15" t="s">
        <v>124</v>
      </c>
      <c r="B91" s="6" t="s">
        <v>54</v>
      </c>
      <c r="C91" s="6">
        <v>7</v>
      </c>
      <c r="D91" s="14">
        <v>43548</v>
      </c>
      <c r="E91" s="8">
        <v>3</v>
      </c>
      <c r="F91" s="7">
        <v>43466</v>
      </c>
      <c r="G91" s="8">
        <v>83</v>
      </c>
      <c r="H91" s="8" t="s">
        <v>111</v>
      </c>
      <c r="I91" s="9">
        <v>17.3</v>
      </c>
      <c r="J91" s="9">
        <v>133.6</v>
      </c>
      <c r="K91" s="9">
        <v>12.85</v>
      </c>
      <c r="L91" s="8">
        <v>189.6</v>
      </c>
      <c r="M91" s="8">
        <v>161.6</v>
      </c>
      <c r="N91" s="9">
        <v>8.01</v>
      </c>
      <c r="O91" s="8">
        <v>0.84899999999999998</v>
      </c>
      <c r="P91" s="8">
        <f>SUM(Table39[[#This Row],[Chironominae ]:[Hydrachnidia]])</f>
        <v>233</v>
      </c>
      <c r="Q91" s="4">
        <v>14</v>
      </c>
      <c r="R91" s="4">
        <v>2</v>
      </c>
      <c r="S91" s="4">
        <v>0</v>
      </c>
      <c r="T91" s="4">
        <v>1</v>
      </c>
      <c r="U91" s="4">
        <v>0</v>
      </c>
      <c r="V91" s="4">
        <v>1</v>
      </c>
      <c r="W91" s="4">
        <v>0</v>
      </c>
      <c r="X91" s="4">
        <v>7</v>
      </c>
      <c r="Y91" s="4">
        <v>0</v>
      </c>
      <c r="Z91" s="4">
        <v>0</v>
      </c>
      <c r="AA91" s="4">
        <v>27</v>
      </c>
      <c r="AB91" s="4">
        <v>180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1</v>
      </c>
      <c r="AV91" s="4">
        <v>0</v>
      </c>
    </row>
    <row r="92" spans="1:48" x14ac:dyDescent="0.2">
      <c r="A92" s="12" t="s">
        <v>125</v>
      </c>
      <c r="B92" s="6" t="s">
        <v>54</v>
      </c>
      <c r="C92" s="6">
        <v>10</v>
      </c>
      <c r="D92" s="7">
        <v>43548</v>
      </c>
      <c r="E92" s="8">
        <v>1</v>
      </c>
      <c r="F92" s="7">
        <v>43466</v>
      </c>
      <c r="G92" s="8">
        <v>83</v>
      </c>
      <c r="H92" s="8" t="s">
        <v>111</v>
      </c>
      <c r="I92" s="9">
        <v>18.399999999999999</v>
      </c>
      <c r="J92" s="9">
        <v>124</v>
      </c>
      <c r="K92" s="9">
        <v>11.84</v>
      </c>
      <c r="L92" s="8">
        <v>177.5</v>
      </c>
      <c r="M92" s="8">
        <v>155.1</v>
      </c>
      <c r="N92" s="9">
        <v>7.67</v>
      </c>
      <c r="O92" s="8">
        <v>0.86499999999999999</v>
      </c>
      <c r="P92" s="8">
        <f>SUM(Table39[[#This Row],[Chironominae ]:[Hydrachnidia]])</f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</row>
    <row r="93" spans="1:48" x14ac:dyDescent="0.2">
      <c r="A93" s="12" t="s">
        <v>126</v>
      </c>
      <c r="B93" s="6" t="s">
        <v>54</v>
      </c>
      <c r="C93" s="6">
        <v>10</v>
      </c>
      <c r="D93" s="7">
        <v>43548</v>
      </c>
      <c r="E93" s="8">
        <v>2</v>
      </c>
      <c r="F93" s="7">
        <v>43466</v>
      </c>
      <c r="G93" s="8">
        <v>83</v>
      </c>
      <c r="H93" s="8" t="s">
        <v>111</v>
      </c>
      <c r="I93" s="9">
        <v>18.399999999999999</v>
      </c>
      <c r="J93" s="9">
        <v>124</v>
      </c>
      <c r="K93" s="9">
        <v>11.84</v>
      </c>
      <c r="L93" s="8">
        <v>177.5</v>
      </c>
      <c r="M93" s="8">
        <v>155.1</v>
      </c>
      <c r="N93" s="9">
        <v>7.67</v>
      </c>
      <c r="O93" s="8">
        <v>0.86499999999999999</v>
      </c>
      <c r="P93" s="8">
        <f>SUM(Table39[[#This Row],[Chironominae ]:[Hydrachnidia]])</f>
        <v>87</v>
      </c>
      <c r="Q93" s="4">
        <v>33</v>
      </c>
      <c r="R93" s="4">
        <v>15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33</v>
      </c>
      <c r="Y93" s="4">
        <v>1</v>
      </c>
      <c r="Z93" s="4">
        <v>0</v>
      </c>
      <c r="AA93" s="4">
        <v>3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2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</row>
    <row r="94" spans="1:48" x14ac:dyDescent="0.2">
      <c r="A94" s="12" t="s">
        <v>127</v>
      </c>
      <c r="B94" s="6" t="s">
        <v>54</v>
      </c>
      <c r="C94" s="6">
        <v>10</v>
      </c>
      <c r="D94" s="7">
        <v>43548</v>
      </c>
      <c r="E94" s="8">
        <v>3</v>
      </c>
      <c r="F94" s="7">
        <v>43466</v>
      </c>
      <c r="G94" s="8">
        <v>83</v>
      </c>
      <c r="H94" s="8" t="s">
        <v>111</v>
      </c>
      <c r="I94" s="9">
        <v>18.399999999999999</v>
      </c>
      <c r="J94" s="9">
        <v>124</v>
      </c>
      <c r="K94" s="9">
        <v>11.84</v>
      </c>
      <c r="L94" s="8">
        <v>177.5</v>
      </c>
      <c r="M94" s="8">
        <v>155.1</v>
      </c>
      <c r="N94" s="9">
        <v>7.67</v>
      </c>
      <c r="O94" s="8">
        <v>0.86499999999999999</v>
      </c>
      <c r="P94" s="8">
        <f>SUM(Table39[[#This Row],[Chironominae ]:[Hydrachnidia]])</f>
        <v>171</v>
      </c>
      <c r="Q94" s="4">
        <v>81</v>
      </c>
      <c r="R94" s="4">
        <v>1</v>
      </c>
      <c r="S94" s="4">
        <v>8</v>
      </c>
      <c r="T94" s="4">
        <v>3</v>
      </c>
      <c r="U94" s="4">
        <v>0</v>
      </c>
      <c r="V94" s="4">
        <v>2</v>
      </c>
      <c r="W94" s="4">
        <v>0</v>
      </c>
      <c r="X94" s="4">
        <v>4</v>
      </c>
      <c r="Y94" s="4">
        <v>0</v>
      </c>
      <c r="Z94" s="4">
        <v>0</v>
      </c>
      <c r="AA94" s="4">
        <v>1</v>
      </c>
      <c r="AB94" s="4">
        <v>71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</row>
    <row r="95" spans="1:48" x14ac:dyDescent="0.2">
      <c r="B95" s="5" t="s">
        <v>49</v>
      </c>
      <c r="C95" s="6">
        <v>11</v>
      </c>
      <c r="D95" s="7">
        <v>43548</v>
      </c>
      <c r="E95" s="8">
        <v>1</v>
      </c>
      <c r="F95" s="7">
        <v>43466</v>
      </c>
      <c r="G95" s="8">
        <v>83</v>
      </c>
      <c r="H95" s="8" t="s">
        <v>111</v>
      </c>
      <c r="I95" s="9">
        <v>19</v>
      </c>
      <c r="J95" s="9">
        <v>97.3</v>
      </c>
      <c r="K95" s="9">
        <v>9.0299999999999994</v>
      </c>
      <c r="L95" s="8">
        <v>207.4</v>
      </c>
      <c r="M95" s="8">
        <v>183.5</v>
      </c>
      <c r="N95" s="9">
        <v>7.68</v>
      </c>
      <c r="O95" s="8">
        <v>0.85799999999999998</v>
      </c>
      <c r="P95" s="8">
        <f>SUM(Table39[[#This Row],[Chironominae ]:[Hydrachnidia]])</f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</row>
    <row r="96" spans="1:48" x14ac:dyDescent="0.2">
      <c r="A96" s="12" t="s">
        <v>128</v>
      </c>
      <c r="B96" s="6" t="s">
        <v>49</v>
      </c>
      <c r="C96" s="6">
        <v>11</v>
      </c>
      <c r="D96" s="7">
        <v>43548</v>
      </c>
      <c r="E96" s="8">
        <v>2</v>
      </c>
      <c r="F96" s="7">
        <v>43466</v>
      </c>
      <c r="G96" s="8">
        <v>83</v>
      </c>
      <c r="H96" s="8" t="s">
        <v>111</v>
      </c>
      <c r="I96" s="9">
        <v>19</v>
      </c>
      <c r="J96" s="9">
        <v>97.3</v>
      </c>
      <c r="K96" s="9">
        <v>9.0299999999999994</v>
      </c>
      <c r="L96" s="8">
        <v>207.4</v>
      </c>
      <c r="M96" s="8">
        <v>183.5</v>
      </c>
      <c r="N96" s="9">
        <v>7.68</v>
      </c>
      <c r="O96" s="8">
        <v>0.85799999999999998</v>
      </c>
      <c r="P96" s="8">
        <f>SUM(Table39[[#This Row],[Chironominae ]:[Hydrachnidia]])</f>
        <v>3</v>
      </c>
      <c r="Q96" s="4">
        <v>0</v>
      </c>
      <c r="R96" s="4">
        <v>0</v>
      </c>
      <c r="S96" s="4">
        <v>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</row>
    <row r="97" spans="1:48" x14ac:dyDescent="0.2">
      <c r="A97" s="6"/>
      <c r="B97" s="6" t="s">
        <v>49</v>
      </c>
      <c r="C97" s="6">
        <v>11</v>
      </c>
      <c r="D97" s="7">
        <v>43548</v>
      </c>
      <c r="E97" s="8">
        <v>3</v>
      </c>
      <c r="F97" s="7">
        <v>43466</v>
      </c>
      <c r="G97" s="8">
        <v>83</v>
      </c>
      <c r="H97" s="8" t="s">
        <v>111</v>
      </c>
      <c r="I97" s="9">
        <v>19</v>
      </c>
      <c r="J97" s="9">
        <v>97.3</v>
      </c>
      <c r="K97" s="9">
        <v>9.0299999999999994</v>
      </c>
      <c r="L97" s="8">
        <v>207.4</v>
      </c>
      <c r="M97" s="8">
        <v>183.5</v>
      </c>
      <c r="N97" s="9">
        <v>7.68</v>
      </c>
      <c r="O97" s="8">
        <v>0.85799999999999998</v>
      </c>
      <c r="P97" s="8">
        <f>SUM(Table39[[#This Row],[Chironominae ]:[Hydrachnidia]])</f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</row>
    <row r="98" spans="1:48" x14ac:dyDescent="0.2">
      <c r="A98" s="6"/>
      <c r="B98" s="6" t="s">
        <v>49</v>
      </c>
      <c r="C98" s="6">
        <v>1</v>
      </c>
      <c r="D98" s="7">
        <v>43556</v>
      </c>
      <c r="E98" s="8">
        <v>1</v>
      </c>
      <c r="F98" s="7">
        <v>43542</v>
      </c>
      <c r="G98" s="8">
        <v>14</v>
      </c>
      <c r="H98" s="8" t="s">
        <v>50</v>
      </c>
      <c r="I98" s="9">
        <v>16.8</v>
      </c>
      <c r="J98" s="9">
        <v>140.5</v>
      </c>
      <c r="K98" s="9">
        <v>13.63</v>
      </c>
      <c r="L98" s="8">
        <v>197.5</v>
      </c>
      <c r="M98" s="8">
        <v>166.5</v>
      </c>
      <c r="N98" s="9">
        <v>7.49</v>
      </c>
      <c r="O98" s="8">
        <v>0.73499999999999999</v>
      </c>
      <c r="P98" s="8">
        <f>SUM(Table39[[#This Row],[Chironominae ]:[Hydrachnidia]])</f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</row>
    <row r="99" spans="1:48" x14ac:dyDescent="0.2">
      <c r="A99" s="6" t="s">
        <v>129</v>
      </c>
      <c r="B99" s="6" t="s">
        <v>49</v>
      </c>
      <c r="C99" s="6">
        <v>1</v>
      </c>
      <c r="D99" s="7">
        <v>43556</v>
      </c>
      <c r="E99" s="8">
        <v>2</v>
      </c>
      <c r="F99" s="7">
        <v>43542</v>
      </c>
      <c r="G99" s="8">
        <v>14</v>
      </c>
      <c r="H99" s="8" t="s">
        <v>50</v>
      </c>
      <c r="I99" s="9">
        <v>16.8</v>
      </c>
      <c r="J99" s="9">
        <v>140.5</v>
      </c>
      <c r="K99" s="9">
        <v>13.63</v>
      </c>
      <c r="L99" s="8">
        <v>197.5</v>
      </c>
      <c r="M99" s="8">
        <v>166.5</v>
      </c>
      <c r="N99" s="9">
        <v>7.49</v>
      </c>
      <c r="O99" s="8">
        <v>0.73499999999999999</v>
      </c>
      <c r="P99" s="8">
        <f>SUM(Table39[[#This Row],[Chironominae ]:[Hydrachnidia]])</f>
        <v>84</v>
      </c>
      <c r="Q99" s="4">
        <v>16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68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</row>
    <row r="100" spans="1:48" x14ac:dyDescent="0.2">
      <c r="B100" s="6" t="s">
        <v>49</v>
      </c>
      <c r="C100" s="6">
        <v>1</v>
      </c>
      <c r="D100" s="7">
        <v>43556</v>
      </c>
      <c r="E100" s="8">
        <v>3</v>
      </c>
      <c r="F100" s="7">
        <v>43542</v>
      </c>
      <c r="G100" s="8">
        <v>14</v>
      </c>
      <c r="H100" s="8" t="s">
        <v>50</v>
      </c>
      <c r="I100" s="9">
        <v>16.8</v>
      </c>
      <c r="J100" s="9">
        <v>140.5</v>
      </c>
      <c r="K100" s="9">
        <v>13.63</v>
      </c>
      <c r="L100" s="8">
        <v>197.5</v>
      </c>
      <c r="M100" s="8">
        <v>166.5</v>
      </c>
      <c r="N100" s="9">
        <v>7.49</v>
      </c>
      <c r="O100" s="8">
        <v>0.73499999999999999</v>
      </c>
      <c r="P100" s="8">
        <f>SUM(Table39[[#This Row],[Chironominae ]:[Hydrachnidia]])</f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</row>
    <row r="101" spans="1:48" x14ac:dyDescent="0.2">
      <c r="A101" s="13" t="s">
        <v>130</v>
      </c>
      <c r="B101" s="6" t="s">
        <v>49</v>
      </c>
      <c r="C101" s="6">
        <v>3</v>
      </c>
      <c r="D101" s="14">
        <v>43556</v>
      </c>
      <c r="E101" s="8" t="s">
        <v>131</v>
      </c>
      <c r="F101" s="7">
        <v>43542</v>
      </c>
      <c r="G101" s="8">
        <v>14</v>
      </c>
      <c r="H101" s="8" t="s">
        <v>50</v>
      </c>
      <c r="I101" s="9">
        <v>16.600000000000001</v>
      </c>
      <c r="J101" s="9">
        <v>86</v>
      </c>
      <c r="K101" s="9">
        <v>8.3800000000000008</v>
      </c>
      <c r="L101" s="8">
        <v>205.8</v>
      </c>
      <c r="M101" s="8">
        <v>175.7</v>
      </c>
      <c r="N101" s="9">
        <v>7.42</v>
      </c>
      <c r="O101" s="8">
        <v>0.59899999999999998</v>
      </c>
      <c r="P101" s="8">
        <f>SUM(Table39[[#This Row],[Chironominae ]:[Hydrachnidia]])</f>
        <v>17</v>
      </c>
      <c r="Q101" s="4">
        <v>3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14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</row>
    <row r="102" spans="1:48" x14ac:dyDescent="0.2">
      <c r="A102" s="11" t="s">
        <v>132</v>
      </c>
      <c r="B102" s="6" t="s">
        <v>49</v>
      </c>
      <c r="C102" s="6">
        <v>3</v>
      </c>
      <c r="D102" s="14">
        <v>43556</v>
      </c>
      <c r="E102" s="8">
        <v>2</v>
      </c>
      <c r="F102" s="7">
        <v>43542</v>
      </c>
      <c r="G102" s="8">
        <v>14</v>
      </c>
      <c r="H102" s="8" t="s">
        <v>50</v>
      </c>
      <c r="I102" s="9">
        <v>16.600000000000001</v>
      </c>
      <c r="J102" s="9">
        <v>86</v>
      </c>
      <c r="K102" s="9">
        <v>8.3800000000000008</v>
      </c>
      <c r="L102" s="8">
        <v>205.8</v>
      </c>
      <c r="M102" s="8">
        <v>175.7</v>
      </c>
      <c r="N102" s="9">
        <v>7.42</v>
      </c>
      <c r="O102" s="8">
        <v>0.59899999999999998</v>
      </c>
      <c r="P102" s="8">
        <f>SUM(Table39[[#This Row],[Chironominae ]:[Hydrachnidia]])</f>
        <v>33</v>
      </c>
      <c r="Q102" s="4">
        <v>10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23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</row>
    <row r="103" spans="1:48" x14ac:dyDescent="0.2">
      <c r="A103" s="11" t="s">
        <v>133</v>
      </c>
      <c r="B103" s="6" t="s">
        <v>49</v>
      </c>
      <c r="C103" s="6">
        <v>3</v>
      </c>
      <c r="D103" s="14">
        <v>43556</v>
      </c>
      <c r="E103" s="8">
        <v>3</v>
      </c>
      <c r="F103" s="7">
        <v>43542</v>
      </c>
      <c r="G103" s="8">
        <v>14</v>
      </c>
      <c r="H103" s="8" t="s">
        <v>50</v>
      </c>
      <c r="I103" s="9">
        <v>16.600000000000001</v>
      </c>
      <c r="J103" s="9">
        <v>86</v>
      </c>
      <c r="K103" s="9">
        <v>8.3800000000000008</v>
      </c>
      <c r="L103" s="8">
        <v>205.8</v>
      </c>
      <c r="M103" s="8">
        <v>175.7</v>
      </c>
      <c r="N103" s="9">
        <v>7.42</v>
      </c>
      <c r="O103" s="8">
        <v>0.59899999999999998</v>
      </c>
      <c r="P103" s="8">
        <f>SUM(Table39[[#This Row],[Chironominae ]:[Hydrachnidia]])</f>
        <v>21</v>
      </c>
      <c r="Q103" s="4">
        <v>15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6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</row>
    <row r="104" spans="1:48" x14ac:dyDescent="0.2">
      <c r="A104" s="11" t="s">
        <v>134</v>
      </c>
      <c r="B104" s="6" t="s">
        <v>49</v>
      </c>
      <c r="C104" s="6">
        <v>5</v>
      </c>
      <c r="D104" s="7">
        <v>43556</v>
      </c>
      <c r="E104" s="8">
        <v>1</v>
      </c>
      <c r="F104" s="7">
        <v>43542</v>
      </c>
      <c r="G104" s="8">
        <v>14</v>
      </c>
      <c r="H104" s="8" t="s">
        <v>50</v>
      </c>
      <c r="I104" s="9">
        <v>17</v>
      </c>
      <c r="J104" s="9">
        <v>136.69999999999999</v>
      </c>
      <c r="K104" s="9">
        <v>13.2</v>
      </c>
      <c r="L104" s="8">
        <v>183.4</v>
      </c>
      <c r="M104" s="8">
        <v>55.5</v>
      </c>
      <c r="N104" s="9">
        <v>7.79</v>
      </c>
      <c r="O104" s="8">
        <v>0.995</v>
      </c>
      <c r="P104" s="8">
        <f>SUM(Table39[[#This Row],[Chironominae ]:[Hydrachnidia]])</f>
        <v>50</v>
      </c>
      <c r="Q104" s="4">
        <v>18</v>
      </c>
      <c r="R104" s="4">
        <v>2</v>
      </c>
      <c r="S104" s="4">
        <v>0</v>
      </c>
      <c r="T104" s="4">
        <v>0</v>
      </c>
      <c r="U104" s="4">
        <v>0</v>
      </c>
      <c r="V104" s="4">
        <v>0</v>
      </c>
      <c r="W104" s="4">
        <v>1</v>
      </c>
      <c r="X104" s="4">
        <v>7</v>
      </c>
      <c r="Y104" s="4">
        <v>1</v>
      </c>
      <c r="Z104" s="4">
        <v>0</v>
      </c>
      <c r="AA104" s="4">
        <v>19</v>
      </c>
      <c r="AB104" s="4">
        <v>0</v>
      </c>
      <c r="AC104" s="4">
        <v>0</v>
      </c>
      <c r="AD104" s="4">
        <v>0</v>
      </c>
      <c r="AE104" s="4">
        <v>0</v>
      </c>
      <c r="AF104" s="4">
        <v>2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</row>
    <row r="105" spans="1:48" x14ac:dyDescent="0.2">
      <c r="B105" s="6" t="s">
        <v>49</v>
      </c>
      <c r="C105" s="6">
        <v>5</v>
      </c>
      <c r="D105" s="7">
        <v>43556</v>
      </c>
      <c r="E105" s="8">
        <v>2</v>
      </c>
      <c r="F105" s="7">
        <v>43542</v>
      </c>
      <c r="G105" s="8">
        <v>14</v>
      </c>
      <c r="H105" s="8" t="s">
        <v>50</v>
      </c>
      <c r="I105" s="9">
        <v>17</v>
      </c>
      <c r="J105" s="9">
        <v>136.69999999999999</v>
      </c>
      <c r="K105" s="9">
        <v>13.2</v>
      </c>
      <c r="L105" s="8">
        <v>183.4</v>
      </c>
      <c r="M105" s="8">
        <v>55.5</v>
      </c>
      <c r="N105" s="9">
        <v>7.79</v>
      </c>
      <c r="O105" s="8">
        <v>0.995</v>
      </c>
      <c r="P105" s="8">
        <f>SUM(Table39[[#This Row],[Chironominae ]:[Hydrachnidia]])</f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</row>
    <row r="106" spans="1:48" x14ac:dyDescent="0.2">
      <c r="A106" s="6"/>
      <c r="B106" s="6" t="s">
        <v>49</v>
      </c>
      <c r="C106" s="6">
        <v>5</v>
      </c>
      <c r="D106" s="7">
        <v>43556</v>
      </c>
      <c r="E106" s="8">
        <v>3</v>
      </c>
      <c r="F106" s="7">
        <v>43542</v>
      </c>
      <c r="G106" s="8">
        <v>14</v>
      </c>
      <c r="H106" s="8" t="s">
        <v>50</v>
      </c>
      <c r="I106" s="9">
        <v>17</v>
      </c>
      <c r="J106" s="9">
        <v>136.69999999999999</v>
      </c>
      <c r="K106" s="9">
        <v>13.2</v>
      </c>
      <c r="L106" s="8">
        <v>183.4</v>
      </c>
      <c r="M106" s="8">
        <v>55.5</v>
      </c>
      <c r="N106" s="9">
        <v>7.79</v>
      </c>
      <c r="O106" s="8">
        <v>0.995</v>
      </c>
      <c r="P106" s="8">
        <f>SUM(Table39[[#This Row],[Chironominae ]:[Hydrachnidia]])</f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</row>
    <row r="107" spans="1:48" x14ac:dyDescent="0.2">
      <c r="A107" s="12" t="s">
        <v>135</v>
      </c>
      <c r="B107" s="6" t="s">
        <v>49</v>
      </c>
      <c r="C107" s="6">
        <v>11</v>
      </c>
      <c r="D107" s="7">
        <v>43556</v>
      </c>
      <c r="E107" s="8">
        <v>1</v>
      </c>
      <c r="F107" s="7">
        <v>43542</v>
      </c>
      <c r="G107" s="8">
        <v>14</v>
      </c>
      <c r="H107" s="8" t="s">
        <v>50</v>
      </c>
      <c r="I107" s="9">
        <v>17.3</v>
      </c>
      <c r="J107" s="9">
        <v>130.1</v>
      </c>
      <c r="K107" s="9">
        <v>12.48</v>
      </c>
      <c r="L107" s="8">
        <v>190.9</v>
      </c>
      <c r="M107" s="8">
        <v>163</v>
      </c>
      <c r="N107" s="9">
        <v>7.68</v>
      </c>
      <c r="O107" s="8">
        <v>0.89600000000000002</v>
      </c>
      <c r="P107" s="8">
        <f>SUM(Table39[[#This Row],[Chironominae ]:[Hydrachnidia]])</f>
        <v>20</v>
      </c>
      <c r="Q107" s="4">
        <v>0</v>
      </c>
      <c r="R107" s="4">
        <v>12</v>
      </c>
      <c r="S107" s="4">
        <v>0</v>
      </c>
      <c r="T107" s="4">
        <v>3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5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</row>
    <row r="108" spans="1:48" x14ac:dyDescent="0.2">
      <c r="A108" s="6"/>
      <c r="B108" s="6" t="s">
        <v>49</v>
      </c>
      <c r="C108" s="6">
        <v>11</v>
      </c>
      <c r="D108" s="7">
        <v>43556</v>
      </c>
      <c r="E108" s="8">
        <v>2</v>
      </c>
      <c r="F108" s="7">
        <v>43542</v>
      </c>
      <c r="G108" s="8">
        <v>14</v>
      </c>
      <c r="H108" s="8" t="s">
        <v>50</v>
      </c>
      <c r="I108" s="9">
        <v>17.3</v>
      </c>
      <c r="J108" s="9">
        <v>130.1</v>
      </c>
      <c r="K108" s="9">
        <v>12.48</v>
      </c>
      <c r="L108" s="8">
        <v>190.9</v>
      </c>
      <c r="M108" s="8">
        <v>163</v>
      </c>
      <c r="N108" s="9">
        <v>7.68</v>
      </c>
      <c r="O108" s="8">
        <v>0.89600000000000002</v>
      </c>
      <c r="P108" s="8">
        <f>SUM(Table39[[#This Row],[Chironominae ]:[Hydrachnidia]])</f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</row>
    <row r="109" spans="1:48" x14ac:dyDescent="0.2">
      <c r="A109" s="6"/>
      <c r="B109" s="6" t="s">
        <v>49</v>
      </c>
      <c r="C109" s="6">
        <v>11</v>
      </c>
      <c r="D109" s="7">
        <v>43556</v>
      </c>
      <c r="E109" s="8">
        <v>3</v>
      </c>
      <c r="F109" s="7">
        <v>43542</v>
      </c>
      <c r="G109" s="8">
        <v>14</v>
      </c>
      <c r="H109" s="8" t="s">
        <v>50</v>
      </c>
      <c r="I109" s="9">
        <v>17.3</v>
      </c>
      <c r="J109" s="9">
        <v>130.1</v>
      </c>
      <c r="K109" s="9">
        <v>12.48</v>
      </c>
      <c r="L109" s="8">
        <v>190.9</v>
      </c>
      <c r="M109" s="8">
        <v>163</v>
      </c>
      <c r="N109" s="9">
        <v>7.68</v>
      </c>
      <c r="O109" s="8">
        <v>0.89600000000000002</v>
      </c>
      <c r="P109" s="8">
        <f>SUM(Table39[[#This Row],[Chironominae ]:[Hydrachnidia]])</f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</row>
    <row r="110" spans="1:48" x14ac:dyDescent="0.2">
      <c r="A110" s="12" t="s">
        <v>136</v>
      </c>
      <c r="B110" s="6" t="s">
        <v>49</v>
      </c>
      <c r="C110" s="6">
        <v>1</v>
      </c>
      <c r="D110" s="7">
        <v>43563</v>
      </c>
      <c r="E110" s="8">
        <v>1</v>
      </c>
      <c r="F110" s="7">
        <v>43542</v>
      </c>
      <c r="G110" s="8">
        <v>14</v>
      </c>
      <c r="H110" s="8" t="s">
        <v>50</v>
      </c>
      <c r="I110" s="9">
        <v>19.899999999999999</v>
      </c>
      <c r="J110" s="9">
        <v>61</v>
      </c>
      <c r="K110" s="9">
        <v>5.55</v>
      </c>
      <c r="L110" s="8">
        <v>220.8</v>
      </c>
      <c r="M110" s="8">
        <v>199.5</v>
      </c>
      <c r="N110" s="9">
        <v>6.94</v>
      </c>
      <c r="O110" s="8">
        <v>0.85299999999999998</v>
      </c>
      <c r="P110" s="8">
        <f>SUM(Table39[[#This Row],[Chironominae ]:[Hydrachnidia]])</f>
        <v>1</v>
      </c>
      <c r="Q110" s="4">
        <v>1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</row>
    <row r="111" spans="1:48" x14ac:dyDescent="0.2">
      <c r="A111" s="6"/>
      <c r="B111" s="6" t="s">
        <v>49</v>
      </c>
      <c r="C111" s="6">
        <v>1</v>
      </c>
      <c r="D111" s="7">
        <v>43563</v>
      </c>
      <c r="E111" s="8">
        <v>2</v>
      </c>
      <c r="F111" s="7">
        <v>43542</v>
      </c>
      <c r="G111" s="8">
        <v>14</v>
      </c>
      <c r="H111" s="8" t="s">
        <v>50</v>
      </c>
      <c r="I111" s="9">
        <v>19.899999999999999</v>
      </c>
      <c r="J111" s="9">
        <v>61</v>
      </c>
      <c r="K111" s="9">
        <v>5.55</v>
      </c>
      <c r="L111" s="8">
        <v>220.8</v>
      </c>
      <c r="M111" s="8">
        <v>199.5</v>
      </c>
      <c r="N111" s="9">
        <v>6.94</v>
      </c>
      <c r="O111" s="8">
        <v>0.85299999999999998</v>
      </c>
      <c r="P111" s="8">
        <f>SUM(Table39[[#This Row],[Chironominae ]:[Hydrachnidia]])</f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</row>
    <row r="112" spans="1:48" x14ac:dyDescent="0.2">
      <c r="A112" s="6"/>
      <c r="B112" s="6" t="s">
        <v>49</v>
      </c>
      <c r="C112" s="6">
        <v>1</v>
      </c>
      <c r="D112" s="7">
        <v>43563</v>
      </c>
      <c r="E112" s="8">
        <v>3</v>
      </c>
      <c r="F112" s="7">
        <v>43542</v>
      </c>
      <c r="G112" s="8">
        <v>14</v>
      </c>
      <c r="H112" s="8" t="s">
        <v>50</v>
      </c>
      <c r="I112" s="9">
        <v>19.899999999999999</v>
      </c>
      <c r="J112" s="9">
        <v>61</v>
      </c>
      <c r="K112" s="9">
        <v>5.55</v>
      </c>
      <c r="L112" s="8">
        <v>220.8</v>
      </c>
      <c r="M112" s="8">
        <v>199.5</v>
      </c>
      <c r="N112" s="9">
        <v>6.94</v>
      </c>
      <c r="O112" s="8">
        <v>0.85299999999999998</v>
      </c>
      <c r="P112" s="8">
        <f>SUM(Table39[[#This Row],[Chironominae ]:[Hydrachnidia]])</f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</row>
    <row r="113" spans="1:48" x14ac:dyDescent="0.2">
      <c r="A113" s="6"/>
      <c r="B113" s="6" t="s">
        <v>49</v>
      </c>
      <c r="C113" s="6">
        <v>5</v>
      </c>
      <c r="D113" s="14">
        <v>43563</v>
      </c>
      <c r="E113" s="8">
        <v>1</v>
      </c>
      <c r="F113" s="7">
        <v>43542</v>
      </c>
      <c r="G113" s="8">
        <v>14</v>
      </c>
      <c r="H113" s="8" t="s">
        <v>50</v>
      </c>
      <c r="I113" s="9">
        <v>20.7</v>
      </c>
      <c r="J113" s="9">
        <v>68.3</v>
      </c>
      <c r="K113" s="9">
        <v>6.12</v>
      </c>
      <c r="L113" s="8">
        <v>193.2</v>
      </c>
      <c r="M113" s="8">
        <v>177.5</v>
      </c>
      <c r="N113" s="9">
        <v>7.07</v>
      </c>
      <c r="O113" s="8">
        <v>0.76300000000000001</v>
      </c>
      <c r="P113" s="8">
        <f>SUM(Table39[[#This Row],[Chironominae ]:[Hydrachnidia]])</f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</row>
    <row r="114" spans="1:48" x14ac:dyDescent="0.2">
      <c r="B114" s="6" t="s">
        <v>49</v>
      </c>
      <c r="C114" s="6">
        <v>5</v>
      </c>
      <c r="D114" s="14">
        <v>43563</v>
      </c>
      <c r="E114" s="8">
        <v>2</v>
      </c>
      <c r="F114" s="7">
        <v>43542</v>
      </c>
      <c r="G114" s="8">
        <v>14</v>
      </c>
      <c r="H114" s="8" t="s">
        <v>50</v>
      </c>
      <c r="I114" s="9">
        <v>20.7</v>
      </c>
      <c r="J114" s="9">
        <v>68.3</v>
      </c>
      <c r="K114" s="9">
        <v>6.12</v>
      </c>
      <c r="L114" s="8">
        <v>193.2</v>
      </c>
      <c r="M114" s="8">
        <v>177.5</v>
      </c>
      <c r="N114" s="9">
        <v>7.07</v>
      </c>
      <c r="O114" s="8">
        <v>0.76300000000000001</v>
      </c>
      <c r="P114" s="8">
        <f>SUM(Table39[[#This Row],[Chironominae ]:[Hydrachnidia]])</f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</row>
    <row r="115" spans="1:48" x14ac:dyDescent="0.2">
      <c r="A115" s="12" t="s">
        <v>137</v>
      </c>
      <c r="B115" s="6" t="s">
        <v>49</v>
      </c>
      <c r="C115" s="6">
        <v>5</v>
      </c>
      <c r="D115" s="14">
        <v>43563</v>
      </c>
      <c r="E115" s="8">
        <v>3</v>
      </c>
      <c r="F115" s="7">
        <v>43542</v>
      </c>
      <c r="G115" s="8">
        <v>14</v>
      </c>
      <c r="H115" s="8" t="s">
        <v>50</v>
      </c>
      <c r="I115" s="9">
        <v>20.7</v>
      </c>
      <c r="J115" s="9">
        <v>68.3</v>
      </c>
      <c r="K115" s="9">
        <v>6.12</v>
      </c>
      <c r="L115" s="8">
        <v>193.2</v>
      </c>
      <c r="M115" s="8">
        <v>177.5</v>
      </c>
      <c r="N115" s="9">
        <v>7.07</v>
      </c>
      <c r="O115" s="8">
        <v>0.76300000000000001</v>
      </c>
      <c r="P115" s="8">
        <f>SUM(Table39[[#This Row],[Chironominae ]:[Hydrachnidia]])</f>
        <v>16</v>
      </c>
      <c r="Q115" s="4">
        <v>4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3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8</v>
      </c>
      <c r="AG115" s="4">
        <v>1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</row>
    <row r="116" spans="1:48" x14ac:dyDescent="0.2">
      <c r="A116" s="11" t="s">
        <v>138</v>
      </c>
      <c r="B116" s="6" t="s">
        <v>49</v>
      </c>
      <c r="C116" s="6">
        <v>11</v>
      </c>
      <c r="D116" s="7">
        <v>43563</v>
      </c>
      <c r="E116" s="8">
        <v>1</v>
      </c>
      <c r="F116" s="7">
        <v>43542</v>
      </c>
      <c r="G116" s="8">
        <v>14</v>
      </c>
      <c r="H116" s="8" t="s">
        <v>50</v>
      </c>
      <c r="I116" s="9">
        <v>20.2</v>
      </c>
      <c r="J116" s="9">
        <v>79</v>
      </c>
      <c r="K116" s="9">
        <v>7.15</v>
      </c>
      <c r="L116" s="8">
        <v>223.6</v>
      </c>
      <c r="M116" s="8">
        <v>203.1</v>
      </c>
      <c r="N116" s="9">
        <v>7.19</v>
      </c>
      <c r="O116" s="8">
        <v>0.98899999999999999</v>
      </c>
      <c r="P116" s="8">
        <f>SUM(Table39[[#This Row],[Chironominae ]:[Hydrachnidia]])</f>
        <v>14</v>
      </c>
      <c r="Q116" s="4">
        <v>3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11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</row>
    <row r="117" spans="1:48" x14ac:dyDescent="0.2">
      <c r="A117" s="12" t="s">
        <v>139</v>
      </c>
      <c r="B117" s="6" t="s">
        <v>49</v>
      </c>
      <c r="C117" s="6">
        <v>11</v>
      </c>
      <c r="D117" s="7">
        <v>43563</v>
      </c>
      <c r="E117" s="8">
        <v>2</v>
      </c>
      <c r="F117" s="7">
        <v>43542</v>
      </c>
      <c r="G117" s="8">
        <v>14</v>
      </c>
      <c r="H117" s="8" t="s">
        <v>50</v>
      </c>
      <c r="I117" s="9">
        <v>20.2</v>
      </c>
      <c r="J117" s="9">
        <v>79</v>
      </c>
      <c r="K117" s="9">
        <v>7.15</v>
      </c>
      <c r="L117" s="8">
        <v>223.6</v>
      </c>
      <c r="M117" s="8">
        <v>203.1</v>
      </c>
      <c r="N117" s="9">
        <v>7.19</v>
      </c>
      <c r="O117" s="8">
        <v>0.98899999999999999</v>
      </c>
      <c r="P117" s="8">
        <f>SUM(Table39[[#This Row],[Chironominae ]:[Hydrachnidia]])</f>
        <v>264</v>
      </c>
      <c r="Q117" s="4">
        <v>106</v>
      </c>
      <c r="R117" s="4">
        <v>2</v>
      </c>
      <c r="S117" s="4">
        <v>102</v>
      </c>
      <c r="T117" s="4">
        <v>0</v>
      </c>
      <c r="U117" s="4">
        <v>0</v>
      </c>
      <c r="V117" s="4">
        <v>0</v>
      </c>
      <c r="W117" s="4">
        <v>0</v>
      </c>
      <c r="X117" s="4">
        <v>27</v>
      </c>
      <c r="Y117" s="4">
        <v>5</v>
      </c>
      <c r="Z117" s="4">
        <v>0</v>
      </c>
      <c r="AA117" s="4">
        <v>15</v>
      </c>
      <c r="AB117" s="4">
        <v>0</v>
      </c>
      <c r="AC117" s="4">
        <v>0</v>
      </c>
      <c r="AD117" s="4">
        <v>1</v>
      </c>
      <c r="AE117" s="4">
        <v>0</v>
      </c>
      <c r="AF117" s="4">
        <v>5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</row>
    <row r="118" spans="1:48" x14ac:dyDescent="0.2">
      <c r="A118" s="6"/>
      <c r="B118" s="6" t="s">
        <v>49</v>
      </c>
      <c r="C118" s="6">
        <v>11</v>
      </c>
      <c r="D118" s="7">
        <v>43563</v>
      </c>
      <c r="E118" s="8">
        <v>3</v>
      </c>
      <c r="F118" s="7">
        <v>43542</v>
      </c>
      <c r="G118" s="8">
        <v>14</v>
      </c>
      <c r="H118" s="8" t="s">
        <v>50</v>
      </c>
      <c r="I118" s="9">
        <v>20.2</v>
      </c>
      <c r="J118" s="9">
        <v>79</v>
      </c>
      <c r="K118" s="9">
        <v>7.15</v>
      </c>
      <c r="L118" s="8">
        <v>223.6</v>
      </c>
      <c r="M118" s="8">
        <v>203.1</v>
      </c>
      <c r="N118" s="9">
        <v>7.19</v>
      </c>
      <c r="O118" s="8">
        <v>0.98899999999999999</v>
      </c>
      <c r="P118" s="8">
        <f>SUM(Table39[[#This Row],[Chironominae ]:[Hydrachnidia]])</f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</row>
    <row r="119" spans="1:48" x14ac:dyDescent="0.2">
      <c r="A119" s="6"/>
      <c r="B119" s="6" t="s">
        <v>49</v>
      </c>
      <c r="C119" s="6">
        <v>1</v>
      </c>
      <c r="D119" s="7">
        <v>43577</v>
      </c>
      <c r="E119" s="8">
        <v>1</v>
      </c>
      <c r="F119" s="7">
        <v>43542</v>
      </c>
      <c r="G119" s="8">
        <v>35</v>
      </c>
      <c r="H119" s="8" t="s">
        <v>89</v>
      </c>
      <c r="I119" s="9">
        <v>18.899999999999999</v>
      </c>
      <c r="J119" s="9">
        <v>69.7</v>
      </c>
      <c r="K119" s="9">
        <v>3.69</v>
      </c>
      <c r="L119" s="8">
        <v>224.8</v>
      </c>
      <c r="M119" s="8">
        <v>198.6</v>
      </c>
      <c r="N119" s="9">
        <v>7.14</v>
      </c>
      <c r="O119" s="8">
        <v>0.33800000000000002</v>
      </c>
      <c r="P119" s="8">
        <f>SUM(Table39[[#This Row],[Chironominae ]:[Hydrachnidia]])</f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</row>
    <row r="120" spans="1:48" x14ac:dyDescent="0.2">
      <c r="B120" s="6" t="s">
        <v>49</v>
      </c>
      <c r="C120" s="6">
        <v>1</v>
      </c>
      <c r="D120" s="7">
        <v>43577</v>
      </c>
      <c r="E120" s="8">
        <v>2</v>
      </c>
      <c r="F120" s="7">
        <v>43542</v>
      </c>
      <c r="G120" s="8">
        <v>35</v>
      </c>
      <c r="H120" s="8" t="s">
        <v>89</v>
      </c>
      <c r="I120" s="9">
        <v>18.899999999999999</v>
      </c>
      <c r="J120" s="9">
        <v>69.7</v>
      </c>
      <c r="K120" s="9">
        <v>3.69</v>
      </c>
      <c r="L120" s="8">
        <v>224.8</v>
      </c>
      <c r="M120" s="8">
        <v>198.6</v>
      </c>
      <c r="N120" s="9">
        <v>7.14</v>
      </c>
      <c r="O120" s="8">
        <v>0.33800000000000002</v>
      </c>
      <c r="P120" s="8">
        <f>SUM(Table39[[#This Row],[Chironominae ]:[Hydrachnidia]])</f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</row>
    <row r="121" spans="1:48" x14ac:dyDescent="0.2">
      <c r="A121" s="12" t="s">
        <v>140</v>
      </c>
      <c r="B121" s="6" t="s">
        <v>49</v>
      </c>
      <c r="C121" s="6">
        <v>1</v>
      </c>
      <c r="D121" s="7">
        <v>43577</v>
      </c>
      <c r="E121" s="8">
        <v>3</v>
      </c>
      <c r="F121" s="7">
        <v>43542</v>
      </c>
      <c r="G121" s="8">
        <v>35</v>
      </c>
      <c r="H121" s="8" t="s">
        <v>89</v>
      </c>
      <c r="I121" s="9">
        <v>18.899999999999999</v>
      </c>
      <c r="J121" s="9">
        <v>69.7</v>
      </c>
      <c r="K121" s="9">
        <v>3.69</v>
      </c>
      <c r="L121" s="8">
        <v>224.8</v>
      </c>
      <c r="M121" s="8">
        <v>198.6</v>
      </c>
      <c r="N121" s="9">
        <v>7.14</v>
      </c>
      <c r="O121" s="8">
        <v>0.33800000000000002</v>
      </c>
      <c r="P121" s="8">
        <f>SUM(Table39[[#This Row],[Chironominae ]:[Hydrachnidia]])</f>
        <v>1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</row>
    <row r="122" spans="1:48" x14ac:dyDescent="0.2">
      <c r="A122" s="10" t="s">
        <v>141</v>
      </c>
      <c r="B122" s="6" t="s">
        <v>54</v>
      </c>
      <c r="C122" s="6">
        <v>2</v>
      </c>
      <c r="D122" s="14">
        <v>43577</v>
      </c>
      <c r="E122" s="8">
        <v>1</v>
      </c>
      <c r="F122" s="7">
        <v>43542</v>
      </c>
      <c r="G122" s="8">
        <v>35</v>
      </c>
      <c r="H122" s="8" t="s">
        <v>89</v>
      </c>
      <c r="I122" s="9">
        <v>18.5</v>
      </c>
      <c r="J122" s="9">
        <v>116.1</v>
      </c>
      <c r="K122" s="9">
        <v>10.87</v>
      </c>
      <c r="L122" s="8">
        <v>201.6</v>
      </c>
      <c r="M122" s="8">
        <v>176.6</v>
      </c>
      <c r="N122" s="9">
        <v>7.3</v>
      </c>
      <c r="O122" s="8">
        <v>0.72</v>
      </c>
      <c r="P122" s="8">
        <f>SUM(Table39[[#This Row],[Chironominae ]:[Hydrachnidia]])</f>
        <v>12</v>
      </c>
      <c r="Q122" s="4">
        <v>1</v>
      </c>
      <c r="R122" s="4">
        <v>1</v>
      </c>
      <c r="S122" s="4">
        <v>0</v>
      </c>
      <c r="T122" s="4">
        <v>4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0</v>
      </c>
      <c r="AA122" s="4">
        <v>2</v>
      </c>
      <c r="AB122" s="4">
        <v>0</v>
      </c>
      <c r="AC122" s="4">
        <v>0</v>
      </c>
      <c r="AD122" s="4">
        <v>1</v>
      </c>
      <c r="AE122" s="4">
        <v>0</v>
      </c>
      <c r="AF122" s="4">
        <v>0</v>
      </c>
      <c r="AG122" s="4">
        <v>1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</row>
    <row r="123" spans="1:48" x14ac:dyDescent="0.2">
      <c r="A123" s="6" t="s">
        <v>142</v>
      </c>
      <c r="B123" s="6" t="s">
        <v>54</v>
      </c>
      <c r="C123" s="6">
        <v>2</v>
      </c>
      <c r="D123" s="14">
        <v>43577</v>
      </c>
      <c r="E123" s="8">
        <v>2</v>
      </c>
      <c r="F123" s="7">
        <v>43542</v>
      </c>
      <c r="G123" s="8">
        <v>35</v>
      </c>
      <c r="H123" s="8" t="s">
        <v>89</v>
      </c>
      <c r="I123" s="9">
        <v>18.5</v>
      </c>
      <c r="J123" s="9">
        <v>116.1</v>
      </c>
      <c r="K123" s="9">
        <v>10.87</v>
      </c>
      <c r="L123" s="8">
        <v>201.6</v>
      </c>
      <c r="M123" s="8">
        <v>176.6</v>
      </c>
      <c r="N123" s="9">
        <v>7.3</v>
      </c>
      <c r="O123" s="8">
        <v>0.72</v>
      </c>
      <c r="P123" s="8">
        <f>SUM(Table39[[#This Row],[Chironominae ]:[Hydrachnidia]])</f>
        <v>23</v>
      </c>
      <c r="Q123" s="4">
        <v>4</v>
      </c>
      <c r="R123" s="4">
        <v>9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>
        <v>5</v>
      </c>
      <c r="Z123" s="4">
        <v>0</v>
      </c>
      <c r="AA123" s="4">
        <v>1</v>
      </c>
      <c r="AB123" s="4">
        <v>0</v>
      </c>
      <c r="AC123" s="4">
        <v>0</v>
      </c>
      <c r="AD123" s="4">
        <v>0</v>
      </c>
      <c r="AE123" s="4">
        <v>0</v>
      </c>
      <c r="AF123" s="4">
        <v>1</v>
      </c>
      <c r="AG123" s="4">
        <v>0</v>
      </c>
      <c r="AH123" s="4">
        <v>0</v>
      </c>
      <c r="AI123" s="4">
        <v>0</v>
      </c>
      <c r="AJ123" s="4">
        <v>2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</row>
    <row r="124" spans="1:48" x14ac:dyDescent="0.2">
      <c r="A124" s="10" t="s">
        <v>143</v>
      </c>
      <c r="B124" s="6" t="s">
        <v>54</v>
      </c>
      <c r="C124" s="6">
        <v>2</v>
      </c>
      <c r="D124" s="14">
        <v>43577</v>
      </c>
      <c r="E124" s="8">
        <v>3</v>
      </c>
      <c r="F124" s="7">
        <v>43542</v>
      </c>
      <c r="G124" s="8">
        <v>35</v>
      </c>
      <c r="H124" s="8" t="s">
        <v>89</v>
      </c>
      <c r="I124" s="9">
        <v>18.5</v>
      </c>
      <c r="J124" s="9">
        <v>116.1</v>
      </c>
      <c r="K124" s="9">
        <v>10.87</v>
      </c>
      <c r="L124" s="8">
        <v>201.6</v>
      </c>
      <c r="M124" s="8">
        <v>176.6</v>
      </c>
      <c r="N124" s="9">
        <v>7.3</v>
      </c>
      <c r="O124" s="8">
        <v>0.72</v>
      </c>
      <c r="P124" s="8">
        <f>SUM(Table39[[#This Row],[Chironominae ]:[Hydrachnidia]])</f>
        <v>24</v>
      </c>
      <c r="Q124" s="4">
        <v>4</v>
      </c>
      <c r="R124" s="4">
        <v>3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2</v>
      </c>
      <c r="Y124" s="4">
        <v>1</v>
      </c>
      <c r="Z124" s="4">
        <v>0</v>
      </c>
      <c r="AA124" s="4">
        <v>9</v>
      </c>
      <c r="AB124" s="4">
        <v>3</v>
      </c>
      <c r="AC124" s="4">
        <v>0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1</v>
      </c>
    </row>
    <row r="125" spans="1:48" x14ac:dyDescent="0.2">
      <c r="A125" s="6"/>
      <c r="B125" s="6" t="s">
        <v>49</v>
      </c>
      <c r="C125" s="6">
        <v>3</v>
      </c>
      <c r="D125" s="14">
        <v>43577</v>
      </c>
      <c r="E125" s="8">
        <v>1</v>
      </c>
      <c r="F125" s="7">
        <v>43542</v>
      </c>
      <c r="G125" s="8">
        <v>35</v>
      </c>
      <c r="H125" s="8" t="s">
        <v>89</v>
      </c>
      <c r="I125" s="9">
        <v>18.2</v>
      </c>
      <c r="J125" s="9">
        <v>36.1</v>
      </c>
      <c r="K125" s="9">
        <v>3.4</v>
      </c>
      <c r="L125" s="8">
        <v>291.7</v>
      </c>
      <c r="M125" s="8">
        <v>253.8</v>
      </c>
      <c r="N125" s="9">
        <v>7.02</v>
      </c>
      <c r="O125" s="8">
        <v>0.309</v>
      </c>
      <c r="P125" s="8">
        <f>SUM(Table39[[#This Row],[Chironominae ]:[Hydrachnidia]])</f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</row>
    <row r="126" spans="1:48" x14ac:dyDescent="0.2">
      <c r="A126" s="12" t="s">
        <v>144</v>
      </c>
      <c r="B126" s="6" t="s">
        <v>49</v>
      </c>
      <c r="C126" s="6">
        <v>3</v>
      </c>
      <c r="D126" s="14">
        <v>43577</v>
      </c>
      <c r="E126" s="8">
        <v>2</v>
      </c>
      <c r="F126" s="7">
        <v>43542</v>
      </c>
      <c r="G126" s="8">
        <v>35</v>
      </c>
      <c r="H126" s="8" t="s">
        <v>89</v>
      </c>
      <c r="I126" s="9">
        <v>18.2</v>
      </c>
      <c r="J126" s="9">
        <v>36.1</v>
      </c>
      <c r="K126" s="9">
        <v>3.4</v>
      </c>
      <c r="L126" s="8">
        <v>291.7</v>
      </c>
      <c r="M126" s="8">
        <v>253.8</v>
      </c>
      <c r="N126" s="9">
        <v>7.02</v>
      </c>
      <c r="O126" s="8">
        <v>0.309</v>
      </c>
      <c r="P126" s="8">
        <f>SUM(Table39[[#This Row],[Chironominae ]:[Hydrachnidia]])</f>
        <v>60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60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</row>
    <row r="127" spans="1:48" x14ac:dyDescent="0.2">
      <c r="A127" s="6"/>
      <c r="B127" s="6" t="s">
        <v>49</v>
      </c>
      <c r="C127" s="6">
        <v>3</v>
      </c>
      <c r="D127" s="14">
        <v>43577</v>
      </c>
      <c r="E127" s="8">
        <v>3</v>
      </c>
      <c r="F127" s="7">
        <v>43542</v>
      </c>
      <c r="G127" s="8">
        <v>35</v>
      </c>
      <c r="H127" s="8" t="s">
        <v>89</v>
      </c>
      <c r="I127" s="9">
        <v>18.2</v>
      </c>
      <c r="J127" s="9">
        <v>36.1</v>
      </c>
      <c r="K127" s="9">
        <v>3.4</v>
      </c>
      <c r="L127" s="8">
        <v>291.7</v>
      </c>
      <c r="M127" s="8">
        <v>253.8</v>
      </c>
      <c r="N127" s="9">
        <v>7.02</v>
      </c>
      <c r="O127" s="8">
        <v>0.309</v>
      </c>
      <c r="P127" s="8">
        <f>SUM(Table39[[#This Row],[Chironominae ]:[Hydrachnidia]])</f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</row>
    <row r="128" spans="1:48" x14ac:dyDescent="0.2">
      <c r="A128" s="12" t="s">
        <v>145</v>
      </c>
      <c r="B128" s="6" t="s">
        <v>49</v>
      </c>
      <c r="C128" s="6">
        <v>4</v>
      </c>
      <c r="D128" s="14">
        <v>43577</v>
      </c>
      <c r="E128" s="8">
        <v>1</v>
      </c>
      <c r="F128" s="7">
        <v>43542</v>
      </c>
      <c r="G128" s="8">
        <v>35</v>
      </c>
      <c r="H128" s="8" t="s">
        <v>89</v>
      </c>
      <c r="I128" s="9">
        <v>18.5</v>
      </c>
      <c r="J128" s="9">
        <v>158.6</v>
      </c>
      <c r="K128" s="9">
        <v>14.86</v>
      </c>
      <c r="L128" s="8">
        <v>200</v>
      </c>
      <c r="M128" s="8">
        <v>175.1</v>
      </c>
      <c r="N128" s="9">
        <v>7.7</v>
      </c>
      <c r="O128" s="8">
        <v>0.88100000000000001</v>
      </c>
      <c r="P128" s="8">
        <f>SUM(Table39[[#This Row],[Chironominae ]:[Hydrachnidia]])</f>
        <v>45</v>
      </c>
      <c r="Q128" s="4">
        <v>0</v>
      </c>
      <c r="R128" s="4">
        <v>7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5</v>
      </c>
      <c r="Z128" s="4">
        <v>0</v>
      </c>
      <c r="AA128" s="4">
        <v>31</v>
      </c>
      <c r="AB128" s="4">
        <v>0</v>
      </c>
      <c r="AC128" s="4">
        <v>0</v>
      </c>
      <c r="AD128" s="4">
        <v>2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</row>
    <row r="129" spans="1:48" x14ac:dyDescent="0.2">
      <c r="A129" s="12" t="s">
        <v>146</v>
      </c>
      <c r="B129" s="6" t="s">
        <v>49</v>
      </c>
      <c r="C129" s="6">
        <v>4</v>
      </c>
      <c r="D129" s="14">
        <v>43577</v>
      </c>
      <c r="E129" s="8">
        <v>2</v>
      </c>
      <c r="F129" s="7">
        <v>43542</v>
      </c>
      <c r="G129" s="8">
        <v>35</v>
      </c>
      <c r="H129" s="8" t="s">
        <v>89</v>
      </c>
      <c r="I129" s="9">
        <v>18.5</v>
      </c>
      <c r="J129" s="9">
        <v>158.6</v>
      </c>
      <c r="K129" s="9">
        <v>14.86</v>
      </c>
      <c r="L129" s="8">
        <v>200</v>
      </c>
      <c r="M129" s="8">
        <v>175.1</v>
      </c>
      <c r="N129" s="9">
        <v>7.7</v>
      </c>
      <c r="O129" s="8">
        <v>0.88100000000000001</v>
      </c>
      <c r="P129" s="8">
        <f>SUM(Table39[[#This Row],[Chironominae ]:[Hydrachnidia]])</f>
        <v>102</v>
      </c>
      <c r="Q129" s="4">
        <v>31</v>
      </c>
      <c r="R129" s="4">
        <v>31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32</v>
      </c>
      <c r="Y129" s="4">
        <v>3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0</v>
      </c>
      <c r="AF129" s="4">
        <v>3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</row>
    <row r="130" spans="1:48" x14ac:dyDescent="0.2">
      <c r="A130" s="11" t="s">
        <v>147</v>
      </c>
      <c r="B130" s="6" t="s">
        <v>49</v>
      </c>
      <c r="C130" s="6">
        <v>4</v>
      </c>
      <c r="D130" s="14">
        <v>43577</v>
      </c>
      <c r="E130" s="8">
        <v>3</v>
      </c>
      <c r="F130" s="7">
        <v>43542</v>
      </c>
      <c r="G130" s="8">
        <v>35</v>
      </c>
      <c r="H130" s="8" t="s">
        <v>89</v>
      </c>
      <c r="I130" s="9">
        <v>18.5</v>
      </c>
      <c r="J130" s="9">
        <v>158.6</v>
      </c>
      <c r="K130" s="9">
        <v>14.86</v>
      </c>
      <c r="L130" s="8">
        <v>200</v>
      </c>
      <c r="M130" s="8">
        <v>175.1</v>
      </c>
      <c r="N130" s="9">
        <v>7.7</v>
      </c>
      <c r="O130" s="8">
        <v>0.88100000000000001</v>
      </c>
      <c r="P130" s="8">
        <f>SUM(Table39[[#This Row],[Chironominae ]:[Hydrachnidia]])</f>
        <v>13</v>
      </c>
      <c r="Q130" s="4">
        <v>2</v>
      </c>
      <c r="R130" s="4">
        <v>1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3</v>
      </c>
      <c r="Y130" s="4">
        <v>0</v>
      </c>
      <c r="Z130" s="4">
        <v>0</v>
      </c>
      <c r="AA130" s="4">
        <v>6</v>
      </c>
      <c r="AB130" s="4">
        <v>0</v>
      </c>
      <c r="AC130" s="4">
        <v>0</v>
      </c>
      <c r="AD130" s="4">
        <v>0</v>
      </c>
      <c r="AE130" s="4">
        <v>0</v>
      </c>
      <c r="AF130" s="4">
        <v>1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</row>
    <row r="131" spans="1:48" x14ac:dyDescent="0.2">
      <c r="A131" s="12" t="s">
        <v>148</v>
      </c>
      <c r="B131" s="6" t="s">
        <v>49</v>
      </c>
      <c r="C131" s="6">
        <v>5</v>
      </c>
      <c r="D131" s="7">
        <v>43577</v>
      </c>
      <c r="E131" s="8">
        <v>1</v>
      </c>
      <c r="F131" s="7">
        <v>43542</v>
      </c>
      <c r="G131" s="8">
        <v>35</v>
      </c>
      <c r="H131" s="8" t="s">
        <v>89</v>
      </c>
      <c r="I131" s="9">
        <v>18.100000000000001</v>
      </c>
      <c r="J131" s="9">
        <v>13.1</v>
      </c>
      <c r="K131" s="9">
        <v>1.23</v>
      </c>
      <c r="L131" s="8">
        <v>229</v>
      </c>
      <c r="M131" s="8">
        <v>198.8</v>
      </c>
      <c r="N131" s="9">
        <v>7.33</v>
      </c>
      <c r="O131" s="8">
        <v>0.56200000000000006</v>
      </c>
      <c r="P131" s="8">
        <f>SUM(Table39[[#This Row],[Chironominae ]:[Hydrachnidia]])</f>
        <v>28</v>
      </c>
      <c r="Q131" s="4">
        <v>0</v>
      </c>
      <c r="R131" s="4">
        <v>19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7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2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</row>
    <row r="132" spans="1:48" x14ac:dyDescent="0.2">
      <c r="A132" s="6"/>
      <c r="B132" s="6" t="s">
        <v>49</v>
      </c>
      <c r="C132" s="6">
        <v>5</v>
      </c>
      <c r="D132" s="7">
        <v>43577</v>
      </c>
      <c r="E132" s="8">
        <v>2</v>
      </c>
      <c r="F132" s="7">
        <v>43542</v>
      </c>
      <c r="G132" s="8">
        <v>35</v>
      </c>
      <c r="H132" s="8" t="s">
        <v>89</v>
      </c>
      <c r="I132" s="9">
        <v>18.100000000000001</v>
      </c>
      <c r="J132" s="9">
        <v>13.1</v>
      </c>
      <c r="K132" s="9">
        <v>1.23</v>
      </c>
      <c r="L132" s="8">
        <v>229</v>
      </c>
      <c r="M132" s="8">
        <v>198.8</v>
      </c>
      <c r="N132" s="9">
        <v>7.33</v>
      </c>
      <c r="O132" s="8">
        <v>0.56200000000000006</v>
      </c>
      <c r="P132" s="8">
        <f>SUM(Table39[[#This Row],[Chironominae ]:[Hydrachnidia]])</f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</row>
    <row r="133" spans="1:48" x14ac:dyDescent="0.2">
      <c r="A133" s="6" t="s">
        <v>149</v>
      </c>
      <c r="B133" s="6" t="s">
        <v>49</v>
      </c>
      <c r="C133" s="6">
        <v>5</v>
      </c>
      <c r="D133" s="7">
        <v>43577</v>
      </c>
      <c r="E133" s="8">
        <v>3</v>
      </c>
      <c r="F133" s="7">
        <v>43542</v>
      </c>
      <c r="G133" s="8">
        <v>35</v>
      </c>
      <c r="H133" s="8" t="s">
        <v>89</v>
      </c>
      <c r="I133" s="9">
        <v>18.100000000000001</v>
      </c>
      <c r="J133" s="9">
        <v>13.1</v>
      </c>
      <c r="K133" s="9">
        <v>1.23</v>
      </c>
      <c r="L133" s="8">
        <v>229</v>
      </c>
      <c r="M133" s="8">
        <v>198.8</v>
      </c>
      <c r="N133" s="9">
        <v>7.33</v>
      </c>
      <c r="O133" s="8">
        <v>0.56200000000000006</v>
      </c>
      <c r="P133" s="8">
        <f>SUM(Table39[[#This Row],[Chironominae ]:[Hydrachnidia]])</f>
        <v>86</v>
      </c>
      <c r="Q133" s="4">
        <v>0</v>
      </c>
      <c r="R133" s="4">
        <v>7</v>
      </c>
      <c r="S133" s="4">
        <v>42</v>
      </c>
      <c r="T133" s="4">
        <v>0</v>
      </c>
      <c r="U133" s="4">
        <v>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31</v>
      </c>
      <c r="AB133" s="4">
        <v>0</v>
      </c>
      <c r="AC133" s="4">
        <v>1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</row>
    <row r="134" spans="1:48" x14ac:dyDescent="0.2">
      <c r="A134" s="6"/>
      <c r="B134" s="6" t="s">
        <v>54</v>
      </c>
      <c r="C134" s="6">
        <v>7</v>
      </c>
      <c r="D134" s="14">
        <v>43577</v>
      </c>
      <c r="E134" s="8">
        <v>1</v>
      </c>
      <c r="F134" s="7">
        <v>43542</v>
      </c>
      <c r="G134" s="8">
        <v>35</v>
      </c>
      <c r="H134" s="8" t="s">
        <v>89</v>
      </c>
      <c r="I134" s="9">
        <v>18.600000000000001</v>
      </c>
      <c r="J134" s="9">
        <v>128.4</v>
      </c>
      <c r="K134" s="9">
        <v>12</v>
      </c>
      <c r="L134" s="8">
        <v>205.1</v>
      </c>
      <c r="M134" s="8">
        <v>179.9</v>
      </c>
      <c r="N134" s="9">
        <v>7.6</v>
      </c>
      <c r="O134" s="8">
        <v>0.79600000000000004</v>
      </c>
      <c r="P134" s="8">
        <f>SUM(Table39[[#This Row],[Chironominae ]:[Hydrachnidia]])</f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</row>
    <row r="135" spans="1:48" x14ac:dyDescent="0.2">
      <c r="A135" s="10" t="s">
        <v>150</v>
      </c>
      <c r="B135" s="6" t="s">
        <v>54</v>
      </c>
      <c r="C135" s="6">
        <v>7</v>
      </c>
      <c r="D135" s="14">
        <v>43577</v>
      </c>
      <c r="E135" s="8">
        <v>2</v>
      </c>
      <c r="F135" s="7">
        <v>43542</v>
      </c>
      <c r="G135" s="8">
        <v>35</v>
      </c>
      <c r="H135" s="8" t="s">
        <v>89</v>
      </c>
      <c r="I135" s="9">
        <v>18.600000000000001</v>
      </c>
      <c r="J135" s="9">
        <v>128.4</v>
      </c>
      <c r="K135" s="9">
        <v>12</v>
      </c>
      <c r="L135" s="8">
        <v>205.1</v>
      </c>
      <c r="M135" s="8">
        <v>179.9</v>
      </c>
      <c r="N135" s="9">
        <v>7.6</v>
      </c>
      <c r="O135" s="8">
        <v>0.79600000000000004</v>
      </c>
      <c r="P135" s="8">
        <f>SUM(Table39[[#This Row],[Chironominae ]:[Hydrachnidia]])</f>
        <v>53</v>
      </c>
      <c r="Q135" s="4">
        <v>4</v>
      </c>
      <c r="R135" s="4">
        <v>27</v>
      </c>
      <c r="S135" s="4">
        <v>0</v>
      </c>
      <c r="T135" s="4">
        <v>0</v>
      </c>
      <c r="U135" s="4">
        <v>0</v>
      </c>
      <c r="V135" s="4">
        <v>6</v>
      </c>
      <c r="W135" s="4">
        <v>0</v>
      </c>
      <c r="X135" s="4">
        <v>1</v>
      </c>
      <c r="Y135" s="4">
        <v>0</v>
      </c>
      <c r="Z135" s="4">
        <v>0</v>
      </c>
      <c r="AA135" s="4">
        <v>12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2</v>
      </c>
      <c r="AI135" s="4">
        <v>0</v>
      </c>
      <c r="AJ135" s="4">
        <v>0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</row>
    <row r="136" spans="1:48" x14ac:dyDescent="0.2">
      <c r="A136" s="5" t="s">
        <v>151</v>
      </c>
      <c r="B136" s="6" t="s">
        <v>54</v>
      </c>
      <c r="C136" s="6">
        <v>7</v>
      </c>
      <c r="D136" s="14">
        <v>43577</v>
      </c>
      <c r="E136" s="8">
        <v>3</v>
      </c>
      <c r="F136" s="7">
        <v>43542</v>
      </c>
      <c r="G136" s="8">
        <v>35</v>
      </c>
      <c r="H136" s="8" t="s">
        <v>89</v>
      </c>
      <c r="I136" s="9">
        <v>18.600000000000001</v>
      </c>
      <c r="J136" s="9">
        <v>128.4</v>
      </c>
      <c r="K136" s="9">
        <v>12</v>
      </c>
      <c r="L136" s="8">
        <v>205.1</v>
      </c>
      <c r="M136" s="8">
        <v>179.9</v>
      </c>
      <c r="N136" s="9">
        <v>7.6</v>
      </c>
      <c r="O136" s="8">
        <v>0.79600000000000004</v>
      </c>
      <c r="P136" s="8">
        <f>SUM(Table39[[#This Row],[Chironominae ]:[Hydrachnidia]])</f>
        <v>20</v>
      </c>
      <c r="Q136" s="4">
        <v>0</v>
      </c>
      <c r="R136" s="4">
        <v>12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</row>
    <row r="137" spans="1:48" x14ac:dyDescent="0.2">
      <c r="A137" s="11" t="s">
        <v>152</v>
      </c>
      <c r="B137" s="6" t="s">
        <v>54</v>
      </c>
      <c r="C137" s="6">
        <v>10</v>
      </c>
      <c r="D137" s="7">
        <v>43577</v>
      </c>
      <c r="E137" s="8">
        <v>1</v>
      </c>
      <c r="F137" s="7">
        <v>43542</v>
      </c>
      <c r="G137" s="8">
        <v>35</v>
      </c>
      <c r="H137" s="8" t="s">
        <v>89</v>
      </c>
      <c r="I137" s="9">
        <v>19.600000000000001</v>
      </c>
      <c r="J137" s="9">
        <v>155.4</v>
      </c>
      <c r="K137" s="9">
        <v>14.25</v>
      </c>
      <c r="L137" s="8">
        <v>203.1</v>
      </c>
      <c r="M137" s="8">
        <v>182.1</v>
      </c>
      <c r="N137" s="9">
        <v>8.0299999999999994</v>
      </c>
      <c r="O137" s="8">
        <v>1.1419999999999999</v>
      </c>
      <c r="P137" s="8">
        <f>SUM(Table39[[#This Row],[Chironominae ]:[Hydrachnidia]])</f>
        <v>7</v>
      </c>
      <c r="Q137" s="4">
        <v>0</v>
      </c>
      <c r="R137" s="4">
        <v>5</v>
      </c>
      <c r="S137" s="4">
        <v>0</v>
      </c>
      <c r="T137" s="4">
        <v>1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</row>
    <row r="138" spans="1:48" x14ac:dyDescent="0.2">
      <c r="A138" s="11" t="s">
        <v>153</v>
      </c>
      <c r="B138" s="6" t="s">
        <v>54</v>
      </c>
      <c r="C138" s="6">
        <v>10</v>
      </c>
      <c r="D138" s="7">
        <v>43577</v>
      </c>
      <c r="E138" s="8">
        <v>2</v>
      </c>
      <c r="F138" s="7">
        <v>43542</v>
      </c>
      <c r="G138" s="8">
        <v>35</v>
      </c>
      <c r="H138" s="8" t="s">
        <v>89</v>
      </c>
      <c r="I138" s="9">
        <v>19.600000000000001</v>
      </c>
      <c r="J138" s="9">
        <v>155.4</v>
      </c>
      <c r="K138" s="9">
        <v>14.25</v>
      </c>
      <c r="L138" s="8">
        <v>203.1</v>
      </c>
      <c r="M138" s="8">
        <v>182.1</v>
      </c>
      <c r="N138" s="9">
        <v>8.0299999999999994</v>
      </c>
      <c r="O138" s="8">
        <v>1.1419999999999999</v>
      </c>
      <c r="P138" s="8">
        <f>SUM(Table39[[#This Row],[Chironominae ]:[Hydrachnidia]])</f>
        <v>35</v>
      </c>
      <c r="Q138" s="4">
        <v>1</v>
      </c>
      <c r="R138" s="4">
        <v>15</v>
      </c>
      <c r="S138" s="4">
        <v>0</v>
      </c>
      <c r="T138" s="4">
        <v>3</v>
      </c>
      <c r="U138" s="4">
        <v>0</v>
      </c>
      <c r="V138" s="4">
        <v>0</v>
      </c>
      <c r="W138" s="4">
        <v>0</v>
      </c>
      <c r="X138" s="4">
        <v>6</v>
      </c>
      <c r="Y138" s="4">
        <v>0</v>
      </c>
      <c r="Z138" s="4">
        <v>0</v>
      </c>
      <c r="AA138" s="4">
        <v>5</v>
      </c>
      <c r="AB138" s="4">
        <v>0</v>
      </c>
      <c r="AC138" s="4">
        <v>0</v>
      </c>
      <c r="AD138" s="4">
        <v>5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</row>
    <row r="139" spans="1:48" x14ac:dyDescent="0.2">
      <c r="A139" s="12" t="s">
        <v>154</v>
      </c>
      <c r="B139" s="6" t="s">
        <v>54</v>
      </c>
      <c r="C139" s="6">
        <v>10</v>
      </c>
      <c r="D139" s="7">
        <v>43577</v>
      </c>
      <c r="E139" s="8">
        <v>3</v>
      </c>
      <c r="F139" s="7">
        <v>43542</v>
      </c>
      <c r="G139" s="8">
        <v>35</v>
      </c>
      <c r="H139" s="8" t="s">
        <v>89</v>
      </c>
      <c r="I139" s="9">
        <v>19.600000000000001</v>
      </c>
      <c r="J139" s="9">
        <v>155.4</v>
      </c>
      <c r="K139" s="9">
        <v>14.25</v>
      </c>
      <c r="L139" s="8">
        <v>203.1</v>
      </c>
      <c r="M139" s="8">
        <v>182.1</v>
      </c>
      <c r="N139" s="9">
        <v>8.0299999999999994</v>
      </c>
      <c r="O139" s="8">
        <v>1.1419999999999999</v>
      </c>
      <c r="P139" s="8">
        <f>SUM(Table39[[#This Row],[Chironominae ]:[Hydrachnidia]])</f>
        <v>2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</row>
    <row r="140" spans="1:48" x14ac:dyDescent="0.2">
      <c r="A140" s="11" t="s">
        <v>155</v>
      </c>
      <c r="B140" s="6" t="s">
        <v>49</v>
      </c>
      <c r="C140" s="6">
        <v>11</v>
      </c>
      <c r="D140" s="7">
        <v>43577</v>
      </c>
      <c r="E140" s="8">
        <v>1</v>
      </c>
      <c r="F140" s="7">
        <v>43542</v>
      </c>
      <c r="G140" s="8">
        <v>35</v>
      </c>
      <c r="H140" s="8" t="s">
        <v>89</v>
      </c>
      <c r="I140" s="9">
        <v>18.7</v>
      </c>
      <c r="J140" s="9">
        <v>102.4</v>
      </c>
      <c r="K140" s="9">
        <v>9.5399999999999991</v>
      </c>
      <c r="L140" s="8">
        <v>198.4</v>
      </c>
      <c r="M140" s="8">
        <v>174.5</v>
      </c>
      <c r="N140" s="9">
        <v>7.93</v>
      </c>
      <c r="O140" s="8">
        <v>0.65800000000000003</v>
      </c>
      <c r="P140" s="8">
        <f>SUM(Table39[[#This Row],[Chironominae ]:[Hydrachnidia]])</f>
        <v>50</v>
      </c>
      <c r="Q140" s="4">
        <v>0</v>
      </c>
      <c r="R140" s="4">
        <v>0</v>
      </c>
      <c r="S140" s="4">
        <v>39</v>
      </c>
      <c r="T140" s="4">
        <v>1</v>
      </c>
      <c r="U140" s="4">
        <v>0</v>
      </c>
      <c r="V140" s="4">
        <v>0</v>
      </c>
      <c r="W140" s="4">
        <v>0</v>
      </c>
      <c r="X140" s="4">
        <v>6</v>
      </c>
      <c r="Y140" s="4">
        <v>1</v>
      </c>
      <c r="Z140" s="4">
        <v>0</v>
      </c>
      <c r="AA140" s="4">
        <v>2</v>
      </c>
      <c r="AB140" s="4">
        <v>0</v>
      </c>
      <c r="AC140" s="4">
        <v>0</v>
      </c>
      <c r="AD140" s="4">
        <v>0</v>
      </c>
      <c r="AE140" s="4">
        <v>0</v>
      </c>
      <c r="AF140" s="4">
        <v>1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</row>
    <row r="141" spans="1:48" x14ac:dyDescent="0.2">
      <c r="A141" s="12" t="s">
        <v>156</v>
      </c>
      <c r="B141" s="6" t="s">
        <v>49</v>
      </c>
      <c r="C141" s="6">
        <v>11</v>
      </c>
      <c r="D141" s="7">
        <v>43577</v>
      </c>
      <c r="E141" s="8">
        <v>2</v>
      </c>
      <c r="F141" s="7">
        <v>43542</v>
      </c>
      <c r="G141" s="8">
        <v>35</v>
      </c>
      <c r="H141" s="8" t="s">
        <v>89</v>
      </c>
      <c r="I141" s="9">
        <v>18.7</v>
      </c>
      <c r="J141" s="9">
        <v>102.4</v>
      </c>
      <c r="K141" s="9">
        <v>9.5399999999999991</v>
      </c>
      <c r="L141" s="8">
        <v>198.4</v>
      </c>
      <c r="M141" s="8">
        <v>174.5</v>
      </c>
      <c r="N141" s="9">
        <v>7.93</v>
      </c>
      <c r="O141" s="8">
        <v>0.65800000000000003</v>
      </c>
      <c r="P141" s="8">
        <f>SUM(Table39[[#This Row],[Chironominae ]:[Hydrachnidia]])</f>
        <v>88</v>
      </c>
      <c r="Q141" s="4">
        <v>14</v>
      </c>
      <c r="R141" s="4">
        <v>50</v>
      </c>
      <c r="S141" s="4">
        <v>8</v>
      </c>
      <c r="T141" s="4">
        <v>0</v>
      </c>
      <c r="U141" s="4">
        <v>0</v>
      </c>
      <c r="V141" s="4">
        <v>14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</row>
    <row r="142" spans="1:48" x14ac:dyDescent="0.2">
      <c r="A142" s="12" t="s">
        <v>157</v>
      </c>
      <c r="B142" s="6" t="s">
        <v>49</v>
      </c>
      <c r="C142" s="6">
        <v>11</v>
      </c>
      <c r="D142" s="7">
        <v>43577</v>
      </c>
      <c r="E142" s="8">
        <v>3</v>
      </c>
      <c r="F142" s="7">
        <v>43542</v>
      </c>
      <c r="G142" s="8">
        <v>35</v>
      </c>
      <c r="H142" s="8" t="s">
        <v>89</v>
      </c>
      <c r="I142" s="9">
        <v>18.7</v>
      </c>
      <c r="J142" s="9">
        <v>102.4</v>
      </c>
      <c r="K142" s="9">
        <v>9.5399999999999991</v>
      </c>
      <c r="L142" s="8">
        <v>198.4</v>
      </c>
      <c r="M142" s="8">
        <v>174.5</v>
      </c>
      <c r="N142" s="9">
        <v>7.93</v>
      </c>
      <c r="O142" s="8">
        <v>0.65800000000000003</v>
      </c>
      <c r="P142" s="8">
        <f>SUM(Table39[[#This Row],[Chironominae ]:[Hydrachnidia]])</f>
        <v>122</v>
      </c>
      <c r="Q142" s="4">
        <v>1</v>
      </c>
      <c r="R142" s="4">
        <v>16</v>
      </c>
      <c r="S142" s="4">
        <v>49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2</v>
      </c>
      <c r="Z142" s="4">
        <v>0</v>
      </c>
      <c r="AA142" s="4">
        <v>50</v>
      </c>
      <c r="AB142" s="4">
        <v>0</v>
      </c>
      <c r="AC142" s="4">
        <v>0</v>
      </c>
      <c r="AD142" s="4">
        <v>3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</row>
    <row r="143" spans="1:48" x14ac:dyDescent="0.2">
      <c r="A143" s="12" t="s">
        <v>158</v>
      </c>
      <c r="B143" s="6" t="s">
        <v>49</v>
      </c>
      <c r="C143" s="6">
        <v>1</v>
      </c>
      <c r="D143" s="7">
        <v>43594</v>
      </c>
      <c r="E143" s="8">
        <v>1</v>
      </c>
      <c r="F143" s="7">
        <v>43542</v>
      </c>
      <c r="G143" s="8">
        <v>52</v>
      </c>
      <c r="H143" s="8" t="s">
        <v>89</v>
      </c>
      <c r="I143" s="9">
        <v>21.5</v>
      </c>
      <c r="J143" s="9">
        <v>56.9</v>
      </c>
      <c r="K143" s="9">
        <v>5.0199999999999996</v>
      </c>
      <c r="L143" s="8">
        <v>251</v>
      </c>
      <c r="M143" s="8">
        <v>234.1</v>
      </c>
      <c r="N143" s="9">
        <v>7.62</v>
      </c>
      <c r="O143" s="8">
        <v>0.34799999999999998</v>
      </c>
      <c r="P143" s="8">
        <f>SUM(Table39[[#This Row],[Chironominae ]:[Hydrachnidia]])</f>
        <v>8</v>
      </c>
      <c r="Q143" s="4">
        <v>4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2</v>
      </c>
      <c r="Y143" s="4">
        <v>1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</row>
    <row r="144" spans="1:48" x14ac:dyDescent="0.2">
      <c r="A144" s="12" t="s">
        <v>159</v>
      </c>
      <c r="B144" s="6" t="s">
        <v>49</v>
      </c>
      <c r="C144" s="6">
        <v>1</v>
      </c>
      <c r="D144" s="7">
        <v>43594</v>
      </c>
      <c r="E144" s="8">
        <v>2</v>
      </c>
      <c r="F144" s="7">
        <v>43542</v>
      </c>
      <c r="G144" s="8">
        <v>52</v>
      </c>
      <c r="H144" s="8" t="s">
        <v>89</v>
      </c>
      <c r="I144" s="9">
        <v>21.5</v>
      </c>
      <c r="J144" s="9">
        <v>56.9</v>
      </c>
      <c r="K144" s="9">
        <v>5.0199999999999996</v>
      </c>
      <c r="L144" s="8">
        <v>251</v>
      </c>
      <c r="M144" s="8">
        <v>234.1</v>
      </c>
      <c r="N144" s="9">
        <v>7.62</v>
      </c>
      <c r="O144" s="8">
        <v>0.34799999999999998</v>
      </c>
      <c r="P144" s="8">
        <f>SUM(Table39[[#This Row],[Chironominae ]:[Hydrachnidia]])</f>
        <v>2</v>
      </c>
      <c r="Q144" s="4">
        <v>1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</row>
    <row r="145" spans="1:48" x14ac:dyDescent="0.2">
      <c r="A145" s="12" t="s">
        <v>160</v>
      </c>
      <c r="B145" s="6" t="s">
        <v>49</v>
      </c>
      <c r="C145" s="6">
        <v>1</v>
      </c>
      <c r="D145" s="7">
        <v>43594</v>
      </c>
      <c r="E145" s="8">
        <v>3</v>
      </c>
      <c r="F145" s="7">
        <v>43542</v>
      </c>
      <c r="G145" s="8">
        <v>52</v>
      </c>
      <c r="H145" s="8" t="s">
        <v>89</v>
      </c>
      <c r="I145" s="9">
        <v>21.5</v>
      </c>
      <c r="J145" s="9">
        <v>56.9</v>
      </c>
      <c r="K145" s="9">
        <v>5.0199999999999996</v>
      </c>
      <c r="L145" s="8">
        <v>251</v>
      </c>
      <c r="M145" s="8">
        <v>234.1</v>
      </c>
      <c r="N145" s="9">
        <v>7.62</v>
      </c>
      <c r="O145" s="8">
        <v>0.34799999999999998</v>
      </c>
      <c r="P145" s="8">
        <f>SUM(Table39[[#This Row],[Chironominae ]:[Hydrachnidia]])</f>
        <v>37</v>
      </c>
      <c r="Q145" s="4">
        <v>22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1</v>
      </c>
      <c r="Y145" s="4">
        <v>3</v>
      </c>
      <c r="Z145" s="4">
        <v>0</v>
      </c>
      <c r="AA145" s="4">
        <v>0</v>
      </c>
      <c r="AB145" s="4">
        <v>10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0</v>
      </c>
    </row>
    <row r="146" spans="1:48" x14ac:dyDescent="0.2">
      <c r="A146" s="11" t="s">
        <v>161</v>
      </c>
      <c r="B146" s="6" t="s">
        <v>49</v>
      </c>
      <c r="C146" s="6">
        <v>3</v>
      </c>
      <c r="D146" s="14">
        <v>43594</v>
      </c>
      <c r="E146" s="8">
        <v>1</v>
      </c>
      <c r="F146" s="7">
        <v>43542</v>
      </c>
      <c r="G146" s="8">
        <v>52</v>
      </c>
      <c r="H146" s="8" t="s">
        <v>89</v>
      </c>
      <c r="I146" s="9">
        <v>23.9</v>
      </c>
      <c r="J146" s="9">
        <v>61.4</v>
      </c>
      <c r="K146" s="9">
        <v>5.17</v>
      </c>
      <c r="L146" s="8">
        <v>362.6</v>
      </c>
      <c r="M146" s="8">
        <v>355</v>
      </c>
      <c r="N146" s="9">
        <v>7.54</v>
      </c>
      <c r="O146" s="8">
        <v>0.44700000000000001</v>
      </c>
      <c r="P146" s="8">
        <f>SUM(Table39[[#This Row],[Chironominae ]:[Hydrachnidia]])</f>
        <v>23</v>
      </c>
      <c r="Q146" s="4">
        <v>1</v>
      </c>
      <c r="R146" s="4">
        <v>0</v>
      </c>
      <c r="S146" s="4">
        <v>3</v>
      </c>
      <c r="T146" s="4">
        <v>0</v>
      </c>
      <c r="U146" s="4">
        <v>0</v>
      </c>
      <c r="V146" s="4">
        <v>0</v>
      </c>
      <c r="W146" s="4">
        <v>0</v>
      </c>
      <c r="X146" s="4">
        <v>4</v>
      </c>
      <c r="Y146" s="4">
        <v>1</v>
      </c>
      <c r="Z146" s="4">
        <v>1</v>
      </c>
      <c r="AA146" s="4">
        <v>0</v>
      </c>
      <c r="AB146" s="4">
        <v>11</v>
      </c>
      <c r="AC146" s="4">
        <v>0</v>
      </c>
      <c r="AD146" s="4">
        <v>2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</row>
    <row r="147" spans="1:48" x14ac:dyDescent="0.2">
      <c r="A147" s="12" t="s">
        <v>162</v>
      </c>
      <c r="B147" s="6" t="s">
        <v>49</v>
      </c>
      <c r="C147" s="6">
        <v>3</v>
      </c>
      <c r="D147" s="14">
        <v>43594</v>
      </c>
      <c r="E147" s="8">
        <v>2</v>
      </c>
      <c r="F147" s="7">
        <v>43542</v>
      </c>
      <c r="G147" s="8">
        <v>52</v>
      </c>
      <c r="H147" s="8" t="s">
        <v>89</v>
      </c>
      <c r="I147" s="9">
        <v>23.9</v>
      </c>
      <c r="J147" s="9">
        <v>61.4</v>
      </c>
      <c r="K147" s="9">
        <v>5.17</v>
      </c>
      <c r="L147" s="8">
        <v>362.6</v>
      </c>
      <c r="M147" s="8">
        <v>355</v>
      </c>
      <c r="N147" s="9">
        <v>7.54</v>
      </c>
      <c r="O147" s="8">
        <v>0.44700000000000001</v>
      </c>
      <c r="P147" s="8">
        <f>SUM(Table39[[#This Row],[Chironominae ]:[Hydrachnidia]])</f>
        <v>7</v>
      </c>
      <c r="Q147" s="4">
        <v>0</v>
      </c>
      <c r="R147" s="4">
        <v>0</v>
      </c>
      <c r="S147" s="4">
        <v>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3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</row>
    <row r="148" spans="1:48" x14ac:dyDescent="0.2">
      <c r="A148" s="12" t="s">
        <v>163</v>
      </c>
      <c r="B148" s="6" t="s">
        <v>49</v>
      </c>
      <c r="C148" s="6">
        <v>3</v>
      </c>
      <c r="D148" s="14">
        <v>43594</v>
      </c>
      <c r="E148" s="8">
        <v>3</v>
      </c>
      <c r="F148" s="7">
        <v>43542</v>
      </c>
      <c r="G148" s="8">
        <v>52</v>
      </c>
      <c r="H148" s="8" t="s">
        <v>89</v>
      </c>
      <c r="I148" s="9">
        <v>23.9</v>
      </c>
      <c r="J148" s="9">
        <v>61.4</v>
      </c>
      <c r="K148" s="9">
        <v>5.17</v>
      </c>
      <c r="L148" s="8">
        <v>362.6</v>
      </c>
      <c r="M148" s="8">
        <v>355</v>
      </c>
      <c r="N148" s="9">
        <v>7.54</v>
      </c>
      <c r="O148" s="8">
        <v>0.44700000000000001</v>
      </c>
      <c r="P148" s="8">
        <f>SUM(Table39[[#This Row],[Chironominae ]:[Hydrachnidia]])</f>
        <v>8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3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5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</row>
    <row r="149" spans="1:48" x14ac:dyDescent="0.2">
      <c r="A149" s="6"/>
      <c r="B149" s="6" t="s">
        <v>49</v>
      </c>
      <c r="C149" s="6">
        <v>5</v>
      </c>
      <c r="D149" s="14">
        <v>43594</v>
      </c>
      <c r="E149" s="8">
        <v>1</v>
      </c>
      <c r="F149" s="7">
        <v>43542</v>
      </c>
      <c r="G149" s="8">
        <v>52</v>
      </c>
      <c r="H149" s="8" t="s">
        <v>89</v>
      </c>
      <c r="I149" s="9">
        <v>23.6</v>
      </c>
      <c r="J149" s="9">
        <v>5.4</v>
      </c>
      <c r="K149" s="9">
        <v>0.44</v>
      </c>
      <c r="L149" s="8">
        <v>207.4</v>
      </c>
      <c r="M149" s="8">
        <v>201.9</v>
      </c>
      <c r="N149" s="9">
        <v>7.46</v>
      </c>
      <c r="O149" s="8">
        <v>0.307</v>
      </c>
      <c r="P149" s="8">
        <f>SUM(Table39[[#This Row],[Chironominae ]:[Hydrachnidia]])</f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</row>
    <row r="150" spans="1:48" x14ac:dyDescent="0.2">
      <c r="A150" s="12" t="s">
        <v>164</v>
      </c>
      <c r="B150" s="6" t="s">
        <v>49</v>
      </c>
      <c r="C150" s="6">
        <v>5</v>
      </c>
      <c r="D150" s="14">
        <v>43594</v>
      </c>
      <c r="E150" s="8">
        <v>2</v>
      </c>
      <c r="F150" s="7">
        <v>43542</v>
      </c>
      <c r="G150" s="8">
        <v>52</v>
      </c>
      <c r="H150" s="8" t="s">
        <v>89</v>
      </c>
      <c r="I150" s="9">
        <v>23.6</v>
      </c>
      <c r="J150" s="9">
        <v>5.4</v>
      </c>
      <c r="K150" s="9">
        <v>0.44</v>
      </c>
      <c r="L150" s="8">
        <v>207.4</v>
      </c>
      <c r="M150" s="8">
        <v>201.9</v>
      </c>
      <c r="N150" s="9">
        <v>7.46</v>
      </c>
      <c r="O150" s="8">
        <v>0.307</v>
      </c>
      <c r="P150" s="8">
        <f>SUM(Table39[[#This Row],[Chironominae ]:[Hydrachnidia]])</f>
        <v>81</v>
      </c>
      <c r="Q150" s="4">
        <v>0</v>
      </c>
      <c r="R150" s="4">
        <v>31</v>
      </c>
      <c r="S150" s="4">
        <v>0</v>
      </c>
      <c r="T150" s="4">
        <v>0</v>
      </c>
      <c r="U150" s="4">
        <v>2</v>
      </c>
      <c r="V150" s="4">
        <v>0</v>
      </c>
      <c r="W150" s="4">
        <v>0</v>
      </c>
      <c r="X150" s="4">
        <v>0</v>
      </c>
      <c r="Y150" s="4">
        <v>4</v>
      </c>
      <c r="Z150" s="4">
        <v>0</v>
      </c>
      <c r="AA150" s="4">
        <v>4</v>
      </c>
      <c r="AB150" s="4">
        <v>0</v>
      </c>
      <c r="AC150" s="4">
        <v>0</v>
      </c>
      <c r="AD150" s="4">
        <v>36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4</v>
      </c>
    </row>
    <row r="151" spans="1:48" x14ac:dyDescent="0.2">
      <c r="A151" s="12" t="s">
        <v>165</v>
      </c>
      <c r="B151" s="6" t="s">
        <v>49</v>
      </c>
      <c r="C151" s="6">
        <v>5</v>
      </c>
      <c r="D151" s="14">
        <v>43594</v>
      </c>
      <c r="E151" s="8">
        <v>3</v>
      </c>
      <c r="F151" s="7">
        <v>43542</v>
      </c>
      <c r="G151" s="8">
        <v>52</v>
      </c>
      <c r="H151" s="8" t="s">
        <v>89</v>
      </c>
      <c r="I151" s="9">
        <v>23.6</v>
      </c>
      <c r="J151" s="9">
        <v>5.4</v>
      </c>
      <c r="K151" s="9">
        <v>0.44</v>
      </c>
      <c r="L151" s="8">
        <v>207.4</v>
      </c>
      <c r="M151" s="8">
        <v>201.9</v>
      </c>
      <c r="N151" s="9">
        <v>7.46</v>
      </c>
      <c r="O151" s="8">
        <v>0.307</v>
      </c>
      <c r="P151" s="8">
        <f>SUM(Table39[[#This Row],[Chironominae ]:[Hydrachnidia]])</f>
        <v>12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2</v>
      </c>
      <c r="Z151" s="4">
        <v>0</v>
      </c>
      <c r="AA151" s="4">
        <v>0</v>
      </c>
      <c r="AB151" s="4">
        <v>10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</row>
    <row r="152" spans="1:48" x14ac:dyDescent="0.2">
      <c r="A152" s="6" t="s">
        <v>166</v>
      </c>
      <c r="B152" s="6" t="s">
        <v>49</v>
      </c>
      <c r="C152" s="6">
        <v>11</v>
      </c>
      <c r="D152" s="7">
        <v>43594</v>
      </c>
      <c r="E152" s="8">
        <v>1</v>
      </c>
      <c r="F152" s="7">
        <v>43542</v>
      </c>
      <c r="G152" s="8">
        <v>52</v>
      </c>
      <c r="H152" s="8" t="s">
        <v>89</v>
      </c>
      <c r="I152" s="9">
        <v>24.5</v>
      </c>
      <c r="J152" s="9">
        <v>83.8</v>
      </c>
      <c r="K152" s="9">
        <v>6.96</v>
      </c>
      <c r="L152" s="8">
        <v>217.4</v>
      </c>
      <c r="M152" s="8">
        <v>215.3</v>
      </c>
      <c r="N152" s="9">
        <v>7.71</v>
      </c>
      <c r="O152" s="8">
        <v>0.113</v>
      </c>
      <c r="P152" s="8">
        <f>SUM(Table39[[#This Row],[Chironominae ]:[Hydrachnidia]])</f>
        <v>69</v>
      </c>
      <c r="Q152" s="4">
        <v>3</v>
      </c>
      <c r="R152" s="4">
        <v>3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1</v>
      </c>
      <c r="Y152" s="4">
        <v>0</v>
      </c>
      <c r="Z152" s="4">
        <v>0</v>
      </c>
      <c r="AA152" s="4">
        <v>18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42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2</v>
      </c>
    </row>
    <row r="153" spans="1:48" x14ac:dyDescent="0.2">
      <c r="A153" s="6" t="s">
        <v>167</v>
      </c>
      <c r="B153" s="6" t="s">
        <v>49</v>
      </c>
      <c r="C153" s="6">
        <v>11</v>
      </c>
      <c r="D153" s="7">
        <v>43594</v>
      </c>
      <c r="E153" s="8">
        <v>2</v>
      </c>
      <c r="F153" s="7">
        <v>43542</v>
      </c>
      <c r="G153" s="8">
        <v>52</v>
      </c>
      <c r="H153" s="8" t="s">
        <v>89</v>
      </c>
      <c r="I153" s="9">
        <v>24.5</v>
      </c>
      <c r="J153" s="9">
        <v>83.8</v>
      </c>
      <c r="K153" s="9">
        <v>6.96</v>
      </c>
      <c r="L153" s="8">
        <v>217.4</v>
      </c>
      <c r="M153" s="8">
        <v>215.3</v>
      </c>
      <c r="N153" s="9">
        <v>7.71</v>
      </c>
      <c r="O153" s="8">
        <v>0.113</v>
      </c>
      <c r="P153" s="8">
        <f>SUM(Table39[[#This Row],[Chironominae ]:[Hydrachnidia]])</f>
        <v>66</v>
      </c>
      <c r="Q153" s="4">
        <v>4</v>
      </c>
      <c r="R153" s="4">
        <v>0</v>
      </c>
      <c r="S153" s="4">
        <v>4</v>
      </c>
      <c r="T153" s="4">
        <v>0</v>
      </c>
      <c r="U153" s="4">
        <v>0</v>
      </c>
      <c r="V153" s="4">
        <v>0</v>
      </c>
      <c r="W153" s="4">
        <v>0</v>
      </c>
      <c r="X153" s="4">
        <v>3</v>
      </c>
      <c r="Y153" s="4">
        <v>2</v>
      </c>
      <c r="Z153" s="4">
        <v>0</v>
      </c>
      <c r="AA153" s="4">
        <v>0</v>
      </c>
      <c r="AB153" s="4">
        <v>3</v>
      </c>
      <c r="AC153" s="4">
        <v>3</v>
      </c>
      <c r="AD153" s="4">
        <v>1</v>
      </c>
      <c r="AE153" s="4">
        <v>0</v>
      </c>
      <c r="AF153" s="4">
        <v>0</v>
      </c>
      <c r="AG153" s="4">
        <v>0</v>
      </c>
      <c r="AH153" s="4">
        <v>8</v>
      </c>
      <c r="AI153" s="4">
        <v>27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10</v>
      </c>
    </row>
    <row r="154" spans="1:48" x14ac:dyDescent="0.2">
      <c r="A154" s="10" t="s">
        <v>168</v>
      </c>
      <c r="B154" s="6" t="s">
        <v>49</v>
      </c>
      <c r="C154" s="6">
        <v>11</v>
      </c>
      <c r="D154" s="7">
        <v>43594</v>
      </c>
      <c r="E154" s="8">
        <v>3</v>
      </c>
      <c r="F154" s="7">
        <v>43542</v>
      </c>
      <c r="G154" s="8">
        <v>52</v>
      </c>
      <c r="H154" s="8" t="s">
        <v>89</v>
      </c>
      <c r="I154" s="9">
        <v>24.5</v>
      </c>
      <c r="J154" s="9">
        <v>83.8</v>
      </c>
      <c r="K154" s="9">
        <v>6.96</v>
      </c>
      <c r="L154" s="8">
        <v>217.4</v>
      </c>
      <c r="M154" s="8">
        <v>215.3</v>
      </c>
      <c r="N154" s="9">
        <v>7.71</v>
      </c>
      <c r="O154" s="8">
        <v>0.113</v>
      </c>
      <c r="P154" s="8">
        <f>SUM(Table39[[#This Row],[Chironominae ]:[Hydrachnidia]])</f>
        <v>2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2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</row>
    <row r="155" spans="1:48" x14ac:dyDescent="0.2">
      <c r="A155" s="12" t="s">
        <v>169</v>
      </c>
      <c r="B155" s="6" t="s">
        <v>49</v>
      </c>
      <c r="C155" s="6">
        <v>1</v>
      </c>
      <c r="D155" s="7">
        <v>43598</v>
      </c>
      <c r="E155" s="8">
        <v>1</v>
      </c>
      <c r="F155" s="7">
        <v>43542</v>
      </c>
      <c r="G155" s="8">
        <v>56</v>
      </c>
      <c r="H155" s="8" t="s">
        <v>89</v>
      </c>
      <c r="I155" s="9">
        <v>19.7</v>
      </c>
      <c r="J155" s="9">
        <v>28.4</v>
      </c>
      <c r="K155" s="9">
        <v>2.59</v>
      </c>
      <c r="L155" s="8">
        <v>262.8</v>
      </c>
      <c r="M155" s="8">
        <v>236.1</v>
      </c>
      <c r="N155" s="9">
        <v>8</v>
      </c>
      <c r="O155" s="8">
        <v>0.28299999999999997</v>
      </c>
      <c r="P155" s="8">
        <f>SUM(Table39[[#This Row],[Chironominae ]:[Hydrachnidia]])</f>
        <v>33</v>
      </c>
      <c r="Q155" s="4">
        <v>7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15</v>
      </c>
      <c r="Y155" s="4">
        <v>1</v>
      </c>
      <c r="Z155" s="4">
        <v>0</v>
      </c>
      <c r="AA155" s="4">
        <v>0</v>
      </c>
      <c r="AB155" s="4">
        <v>9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</row>
    <row r="156" spans="1:48" x14ac:dyDescent="0.2">
      <c r="A156" s="12" t="s">
        <v>170</v>
      </c>
      <c r="B156" s="6" t="s">
        <v>49</v>
      </c>
      <c r="C156" s="6">
        <v>1</v>
      </c>
      <c r="D156" s="7">
        <v>43598</v>
      </c>
      <c r="E156" s="8">
        <v>2</v>
      </c>
      <c r="F156" s="7">
        <v>43542</v>
      </c>
      <c r="G156" s="8">
        <v>56</v>
      </c>
      <c r="H156" s="8" t="s">
        <v>89</v>
      </c>
      <c r="I156" s="9">
        <v>19.7</v>
      </c>
      <c r="J156" s="9">
        <v>28.4</v>
      </c>
      <c r="K156" s="9">
        <v>2.59</v>
      </c>
      <c r="L156" s="8">
        <v>262.8</v>
      </c>
      <c r="M156" s="8">
        <v>236.1</v>
      </c>
      <c r="N156" s="9">
        <v>8</v>
      </c>
      <c r="O156" s="8">
        <v>0.28299999999999997</v>
      </c>
      <c r="P156" s="8">
        <f>SUM(Table39[[#This Row],[Chironominae ]:[Hydrachnidia]])</f>
        <v>39</v>
      </c>
      <c r="Q156" s="4">
        <v>5</v>
      </c>
      <c r="R156" s="4">
        <v>4</v>
      </c>
      <c r="S156" s="4">
        <v>4</v>
      </c>
      <c r="T156" s="4">
        <v>0</v>
      </c>
      <c r="U156" s="4">
        <v>0</v>
      </c>
      <c r="V156" s="4">
        <v>0</v>
      </c>
      <c r="W156" s="4">
        <v>0</v>
      </c>
      <c r="X156" s="4">
        <v>16</v>
      </c>
      <c r="Y156" s="4">
        <v>0</v>
      </c>
      <c r="Z156" s="4">
        <v>0</v>
      </c>
      <c r="AA156" s="4">
        <v>10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</row>
    <row r="157" spans="1:48" x14ac:dyDescent="0.2">
      <c r="A157" s="12" t="s">
        <v>171</v>
      </c>
      <c r="B157" s="6" t="s">
        <v>49</v>
      </c>
      <c r="C157" s="6">
        <v>1</v>
      </c>
      <c r="D157" s="7">
        <v>43598</v>
      </c>
      <c r="E157" s="8">
        <v>3</v>
      </c>
      <c r="F157" s="7">
        <v>43542</v>
      </c>
      <c r="G157" s="8">
        <v>56</v>
      </c>
      <c r="H157" s="8" t="s">
        <v>89</v>
      </c>
      <c r="I157" s="9">
        <v>19.7</v>
      </c>
      <c r="J157" s="9">
        <v>28.4</v>
      </c>
      <c r="K157" s="9">
        <v>2.59</v>
      </c>
      <c r="L157" s="8">
        <v>262.8</v>
      </c>
      <c r="M157" s="8">
        <v>236.1</v>
      </c>
      <c r="N157" s="9">
        <v>8</v>
      </c>
      <c r="O157" s="8">
        <v>0.28299999999999997</v>
      </c>
      <c r="P157" s="8">
        <f>SUM(Table39[[#This Row],[Chironominae ]:[Hydrachnidia]])</f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</row>
    <row r="158" spans="1:48" x14ac:dyDescent="0.2">
      <c r="A158" s="12" t="s">
        <v>172</v>
      </c>
      <c r="B158" s="6" t="s">
        <v>54</v>
      </c>
      <c r="C158" s="6">
        <v>2</v>
      </c>
      <c r="D158" s="14">
        <v>43598</v>
      </c>
      <c r="E158" s="8">
        <v>1</v>
      </c>
      <c r="F158" s="7">
        <v>43542</v>
      </c>
      <c r="G158" s="8">
        <v>56</v>
      </c>
      <c r="H158" s="8" t="s">
        <v>89</v>
      </c>
      <c r="I158" s="9">
        <v>21.4</v>
      </c>
      <c r="J158" s="9">
        <v>52.5</v>
      </c>
      <c r="K158" s="9">
        <v>4.63</v>
      </c>
      <c r="L158" s="8">
        <v>222.1</v>
      </c>
      <c r="M158" s="8">
        <v>206.9</v>
      </c>
      <c r="N158" s="9">
        <v>7.23</v>
      </c>
      <c r="O158" s="8">
        <v>1.5840000000000001</v>
      </c>
      <c r="P158" s="8">
        <f>SUM(Table39[[#This Row],[Chironominae ]:[Hydrachnidia]])</f>
        <v>34</v>
      </c>
      <c r="Q158" s="4">
        <v>6</v>
      </c>
      <c r="R158" s="4">
        <v>9</v>
      </c>
      <c r="S158" s="4">
        <v>0</v>
      </c>
      <c r="T158" s="4">
        <v>0</v>
      </c>
      <c r="U158" s="4">
        <v>1</v>
      </c>
      <c r="V158" s="4">
        <v>0</v>
      </c>
      <c r="W158" s="4">
        <v>0</v>
      </c>
      <c r="X158" s="4">
        <v>10</v>
      </c>
      <c r="Y158" s="4">
        <v>2</v>
      </c>
      <c r="Z158" s="4">
        <v>0</v>
      </c>
      <c r="AA158" s="4">
        <v>3</v>
      </c>
      <c r="AB158" s="4">
        <v>0</v>
      </c>
      <c r="AC158" s="4">
        <v>0</v>
      </c>
      <c r="AD158" s="4">
        <v>0</v>
      </c>
      <c r="AE158" s="4">
        <v>0</v>
      </c>
      <c r="AF158" s="4">
        <v>2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</row>
    <row r="159" spans="1:48" x14ac:dyDescent="0.2">
      <c r="A159" s="12" t="s">
        <v>173</v>
      </c>
      <c r="B159" s="6" t="s">
        <v>54</v>
      </c>
      <c r="C159" s="6">
        <v>2</v>
      </c>
      <c r="D159" s="14">
        <v>43598</v>
      </c>
      <c r="E159" s="8">
        <v>2</v>
      </c>
      <c r="F159" s="7">
        <v>43542</v>
      </c>
      <c r="G159" s="8">
        <v>56</v>
      </c>
      <c r="H159" s="8" t="s">
        <v>89</v>
      </c>
      <c r="I159" s="9">
        <v>21.4</v>
      </c>
      <c r="J159" s="9">
        <v>52.5</v>
      </c>
      <c r="K159" s="9">
        <v>4.63</v>
      </c>
      <c r="L159" s="8">
        <v>222.1</v>
      </c>
      <c r="M159" s="8">
        <v>206.9</v>
      </c>
      <c r="N159" s="9">
        <v>7.23</v>
      </c>
      <c r="O159" s="8">
        <v>1.5840000000000001</v>
      </c>
      <c r="P159" s="8">
        <f>SUM(Table39[[#This Row],[Chironominae ]:[Hydrachnidia]])</f>
        <v>32</v>
      </c>
      <c r="Q159" s="4">
        <v>10</v>
      </c>
      <c r="R159" s="4">
        <v>1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1</v>
      </c>
      <c r="Y159" s="4">
        <v>0</v>
      </c>
      <c r="Z159" s="4">
        <v>0</v>
      </c>
      <c r="AA159" s="4">
        <v>9</v>
      </c>
      <c r="AB159" s="4">
        <v>0</v>
      </c>
      <c r="AC159" s="4">
        <v>0</v>
      </c>
      <c r="AD159" s="4">
        <v>2</v>
      </c>
      <c r="AE159" s="4">
        <v>0</v>
      </c>
      <c r="AF159" s="4">
        <v>1</v>
      </c>
      <c r="AG159" s="4">
        <v>0</v>
      </c>
      <c r="AH159" s="4">
        <v>0</v>
      </c>
      <c r="AI159" s="4">
        <v>7</v>
      </c>
      <c r="AJ159" s="4">
        <v>0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</row>
    <row r="160" spans="1:48" x14ac:dyDescent="0.2">
      <c r="A160" s="12" t="s">
        <v>174</v>
      </c>
      <c r="B160" s="6" t="s">
        <v>54</v>
      </c>
      <c r="C160" s="15">
        <v>2</v>
      </c>
      <c r="D160" s="14">
        <v>43598</v>
      </c>
      <c r="E160" s="8">
        <v>3</v>
      </c>
      <c r="F160" s="7">
        <v>43542</v>
      </c>
      <c r="G160" s="8">
        <v>56</v>
      </c>
      <c r="H160" s="8" t="s">
        <v>89</v>
      </c>
      <c r="I160" s="9">
        <v>21.4</v>
      </c>
      <c r="J160" s="9">
        <v>52.5</v>
      </c>
      <c r="K160" s="9">
        <v>4.63</v>
      </c>
      <c r="L160" s="8">
        <v>222.1</v>
      </c>
      <c r="M160" s="8">
        <v>206.9</v>
      </c>
      <c r="N160" s="9">
        <v>7.23</v>
      </c>
      <c r="O160" s="8">
        <v>1.5840000000000001</v>
      </c>
      <c r="P160" s="8">
        <f>SUM(Table39[[#This Row],[Chironominae ]:[Hydrachnidia]])</f>
        <v>13</v>
      </c>
      <c r="Q160" s="4">
        <v>4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1</v>
      </c>
      <c r="Y160" s="4">
        <v>6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1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1</v>
      </c>
      <c r="AS160" s="4">
        <v>0</v>
      </c>
      <c r="AT160" s="4">
        <v>0</v>
      </c>
      <c r="AU160" s="4">
        <v>0</v>
      </c>
      <c r="AV160" s="4">
        <v>0</v>
      </c>
    </row>
    <row r="161" spans="1:48" x14ac:dyDescent="0.2">
      <c r="A161" s="6"/>
      <c r="B161" s="6" t="s">
        <v>49</v>
      </c>
      <c r="C161" s="15">
        <v>3</v>
      </c>
      <c r="D161" s="14">
        <v>43598</v>
      </c>
      <c r="E161" s="8">
        <v>1</v>
      </c>
      <c r="F161" s="7">
        <v>43542</v>
      </c>
      <c r="G161" s="8">
        <v>56</v>
      </c>
      <c r="H161" s="8" t="s">
        <v>89</v>
      </c>
      <c r="I161" s="9">
        <v>19.3</v>
      </c>
      <c r="J161" s="9">
        <v>17</v>
      </c>
      <c r="K161" s="9">
        <v>1.57</v>
      </c>
      <c r="L161" s="8">
        <v>332.1</v>
      </c>
      <c r="M161" s="8">
        <v>295.60000000000002</v>
      </c>
      <c r="N161" s="9">
        <v>7.38</v>
      </c>
      <c r="O161" s="8">
        <v>0.29599999999999999</v>
      </c>
      <c r="P161" s="8">
        <f>SUM(Table39[[#This Row],[Chironominae ]:[Hydrachnidia]])</f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</row>
    <row r="162" spans="1:48" x14ac:dyDescent="0.2">
      <c r="A162" s="12" t="s">
        <v>175</v>
      </c>
      <c r="B162" s="6" t="s">
        <v>49</v>
      </c>
      <c r="C162" s="15">
        <v>3</v>
      </c>
      <c r="D162" s="14">
        <v>43598</v>
      </c>
      <c r="E162" s="8">
        <v>2</v>
      </c>
      <c r="F162" s="7">
        <v>43542</v>
      </c>
      <c r="G162" s="8">
        <v>56</v>
      </c>
      <c r="H162" s="8" t="s">
        <v>89</v>
      </c>
      <c r="I162" s="9">
        <v>19.3</v>
      </c>
      <c r="J162" s="9">
        <v>17</v>
      </c>
      <c r="K162" s="9">
        <v>1.57</v>
      </c>
      <c r="L162" s="8">
        <v>332.1</v>
      </c>
      <c r="M162" s="8">
        <v>295.60000000000002</v>
      </c>
      <c r="N162" s="9">
        <v>7.38</v>
      </c>
      <c r="O162" s="8">
        <v>0.29599999999999999</v>
      </c>
      <c r="P162" s="8">
        <f>SUM(Table39[[#This Row],[Chironominae ]:[Hydrachnidia]])</f>
        <v>5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3</v>
      </c>
      <c r="Z162" s="4">
        <v>0</v>
      </c>
      <c r="AA162" s="4">
        <v>0</v>
      </c>
      <c r="AB162" s="4">
        <v>0</v>
      </c>
      <c r="AC162" s="4">
        <v>0</v>
      </c>
      <c r="AD162" s="4">
        <v>2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</row>
    <row r="163" spans="1:48" x14ac:dyDescent="0.2">
      <c r="A163" s="12" t="s">
        <v>176</v>
      </c>
      <c r="B163" s="6" t="s">
        <v>49</v>
      </c>
      <c r="C163" s="15">
        <v>3</v>
      </c>
      <c r="D163" s="14">
        <v>43598</v>
      </c>
      <c r="E163" s="8">
        <v>3</v>
      </c>
      <c r="F163" s="7">
        <v>43542</v>
      </c>
      <c r="G163" s="8">
        <v>56</v>
      </c>
      <c r="H163" s="8" t="s">
        <v>89</v>
      </c>
      <c r="I163" s="9">
        <v>19.3</v>
      </c>
      <c r="J163" s="9">
        <v>17</v>
      </c>
      <c r="K163" s="9">
        <v>1.57</v>
      </c>
      <c r="L163" s="8">
        <v>332.1</v>
      </c>
      <c r="M163" s="8">
        <v>295.60000000000002</v>
      </c>
      <c r="N163" s="9">
        <v>7.38</v>
      </c>
      <c r="O163" s="8">
        <v>0.29599999999999999</v>
      </c>
      <c r="P163" s="8">
        <f>SUM(Table39[[#This Row],[Chironominae ]:[Hydrachnidia]])</f>
        <v>26</v>
      </c>
      <c r="Q163" s="4">
        <v>5</v>
      </c>
      <c r="R163" s="4">
        <v>0</v>
      </c>
      <c r="S163" s="4">
        <v>1</v>
      </c>
      <c r="T163" s="4">
        <v>0</v>
      </c>
      <c r="U163" s="4">
        <v>1</v>
      </c>
      <c r="V163" s="4">
        <v>0</v>
      </c>
      <c r="W163" s="4">
        <v>0</v>
      </c>
      <c r="X163" s="4">
        <v>3</v>
      </c>
      <c r="Y163" s="4">
        <v>6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10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</row>
    <row r="164" spans="1:48" x14ac:dyDescent="0.2">
      <c r="A164" s="12" t="s">
        <v>177</v>
      </c>
      <c r="B164" s="6" t="s">
        <v>49</v>
      </c>
      <c r="C164" s="15">
        <v>4</v>
      </c>
      <c r="D164" s="7">
        <v>43598</v>
      </c>
      <c r="E164" s="8">
        <v>1</v>
      </c>
      <c r="F164" s="7">
        <v>43542</v>
      </c>
      <c r="G164" s="8">
        <v>56</v>
      </c>
      <c r="H164" s="8" t="s">
        <v>89</v>
      </c>
      <c r="I164" s="9">
        <v>21</v>
      </c>
      <c r="J164" s="9">
        <v>122.7</v>
      </c>
      <c r="K164" s="9">
        <v>10.93</v>
      </c>
      <c r="L164" s="8">
        <v>216.4</v>
      </c>
      <c r="M164" s="8">
        <v>199.7</v>
      </c>
      <c r="N164" s="9">
        <v>7.39</v>
      </c>
      <c r="O164" s="8">
        <v>0.92300000000000004</v>
      </c>
      <c r="P164" s="8">
        <f>SUM(Table39[[#This Row],[Chironominae ]:[Hydrachnidia]])</f>
        <v>10</v>
      </c>
      <c r="Q164" s="4">
        <v>0</v>
      </c>
      <c r="R164" s="4">
        <v>6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</row>
    <row r="165" spans="1:48" x14ac:dyDescent="0.2">
      <c r="A165" s="12" t="s">
        <v>178</v>
      </c>
      <c r="B165" s="6" t="s">
        <v>49</v>
      </c>
      <c r="C165" s="15">
        <v>4</v>
      </c>
      <c r="D165" s="7">
        <v>43598</v>
      </c>
      <c r="E165" s="8">
        <v>2</v>
      </c>
      <c r="F165" s="7">
        <v>43542</v>
      </c>
      <c r="G165" s="8">
        <v>56</v>
      </c>
      <c r="H165" s="8" t="s">
        <v>89</v>
      </c>
      <c r="I165" s="9">
        <v>21</v>
      </c>
      <c r="J165" s="9">
        <v>122.7</v>
      </c>
      <c r="K165" s="9">
        <v>10.93</v>
      </c>
      <c r="L165" s="8">
        <v>216.4</v>
      </c>
      <c r="M165" s="8">
        <v>199.7</v>
      </c>
      <c r="N165" s="9">
        <v>7.39</v>
      </c>
      <c r="O165" s="8">
        <v>0.92300000000000004</v>
      </c>
      <c r="P165" s="8">
        <f>SUM(Table39[[#This Row],[Chironominae ]:[Hydrachnidia]])</f>
        <v>18</v>
      </c>
      <c r="Q165" s="4">
        <v>0</v>
      </c>
      <c r="R165" s="4">
        <v>5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3</v>
      </c>
      <c r="Z165" s="4">
        <v>0</v>
      </c>
      <c r="AA165" s="4">
        <v>5</v>
      </c>
      <c r="AB165" s="4">
        <v>0</v>
      </c>
      <c r="AC165" s="4">
        <v>1</v>
      </c>
      <c r="AD165" s="4">
        <v>1</v>
      </c>
      <c r="AE165" s="4">
        <v>0</v>
      </c>
      <c r="AF165" s="4">
        <v>2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</row>
    <row r="166" spans="1:48" x14ac:dyDescent="0.2">
      <c r="A166" s="12" t="s">
        <v>179</v>
      </c>
      <c r="B166" s="6" t="s">
        <v>49</v>
      </c>
      <c r="C166" s="15">
        <v>4</v>
      </c>
      <c r="D166" s="7">
        <v>43598</v>
      </c>
      <c r="E166" s="8">
        <v>3</v>
      </c>
      <c r="F166" s="7">
        <v>43542</v>
      </c>
      <c r="G166" s="8">
        <v>56</v>
      </c>
      <c r="H166" s="8" t="s">
        <v>89</v>
      </c>
      <c r="I166" s="9">
        <v>21</v>
      </c>
      <c r="J166" s="9">
        <v>122.7</v>
      </c>
      <c r="K166" s="9">
        <v>10.93</v>
      </c>
      <c r="L166" s="8">
        <v>216.4</v>
      </c>
      <c r="M166" s="8">
        <v>199.7</v>
      </c>
      <c r="N166" s="9">
        <v>7.39</v>
      </c>
      <c r="O166" s="8">
        <v>0.92300000000000004</v>
      </c>
      <c r="P166" s="8">
        <f>SUM(Table39[[#This Row],[Chironominae ]:[Hydrachnidia]])</f>
        <v>19</v>
      </c>
      <c r="Q166" s="4">
        <v>2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13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4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</row>
    <row r="167" spans="1:48" x14ac:dyDescent="0.2">
      <c r="A167" s="6" t="s">
        <v>180</v>
      </c>
      <c r="B167" s="6" t="s">
        <v>49</v>
      </c>
      <c r="C167" s="15">
        <v>5</v>
      </c>
      <c r="D167" s="14">
        <v>43598</v>
      </c>
      <c r="E167" s="8">
        <v>1</v>
      </c>
      <c r="F167" s="7">
        <v>43542</v>
      </c>
      <c r="G167" s="8">
        <v>56</v>
      </c>
      <c r="H167" s="8" t="s">
        <v>89</v>
      </c>
      <c r="I167" s="9">
        <v>21.5</v>
      </c>
      <c r="J167" s="9">
        <v>20.6</v>
      </c>
      <c r="K167" s="9">
        <v>1.81</v>
      </c>
      <c r="L167" s="8">
        <v>172.1</v>
      </c>
      <c r="M167" s="8">
        <v>160.6</v>
      </c>
      <c r="N167" s="9">
        <v>7.5</v>
      </c>
      <c r="O167" s="8">
        <v>0.65600000000000003</v>
      </c>
      <c r="P167" s="8">
        <f>SUM(Table39[[#This Row],[Chironominae ]:[Hydrachnidia]])</f>
        <v>45</v>
      </c>
      <c r="Q167" s="4">
        <v>18</v>
      </c>
      <c r="R167" s="4">
        <v>4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2</v>
      </c>
      <c r="Y167" s="4">
        <v>0</v>
      </c>
      <c r="Z167" s="4">
        <v>0</v>
      </c>
      <c r="AA167" s="4">
        <v>16</v>
      </c>
      <c r="AB167" s="4">
        <v>0</v>
      </c>
      <c r="AC167" s="4">
        <v>3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1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</row>
    <row r="168" spans="1:48" x14ac:dyDescent="0.2">
      <c r="A168" s="10" t="s">
        <v>181</v>
      </c>
      <c r="B168" s="6" t="s">
        <v>49</v>
      </c>
      <c r="C168" s="15">
        <v>5</v>
      </c>
      <c r="D168" s="7">
        <v>43598</v>
      </c>
      <c r="E168" s="8">
        <v>2</v>
      </c>
      <c r="F168" s="7">
        <v>43542</v>
      </c>
      <c r="G168" s="8">
        <v>56</v>
      </c>
      <c r="H168" s="8" t="s">
        <v>89</v>
      </c>
      <c r="I168" s="9">
        <v>21.5</v>
      </c>
      <c r="J168" s="9">
        <v>20.6</v>
      </c>
      <c r="K168" s="9">
        <v>1.81</v>
      </c>
      <c r="L168" s="8">
        <v>172.1</v>
      </c>
      <c r="M168" s="8">
        <v>160.6</v>
      </c>
      <c r="N168" s="9">
        <v>7.5</v>
      </c>
      <c r="O168" s="8">
        <v>0.65600000000000003</v>
      </c>
      <c r="P168" s="8">
        <f>SUM(Table39[[#This Row],[Chironominae ]:[Hydrachnidia]])</f>
        <v>29</v>
      </c>
      <c r="Q168" s="4">
        <v>6</v>
      </c>
      <c r="R168" s="4">
        <v>11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1</v>
      </c>
      <c r="Y168" s="4">
        <v>0</v>
      </c>
      <c r="Z168" s="4">
        <v>0</v>
      </c>
      <c r="AA168" s="4">
        <v>10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</row>
    <row r="169" spans="1:48" x14ac:dyDescent="0.2">
      <c r="A169" s="10" t="s">
        <v>182</v>
      </c>
      <c r="B169" s="6" t="s">
        <v>49</v>
      </c>
      <c r="C169" s="15">
        <v>5</v>
      </c>
      <c r="D169" s="7">
        <v>43598</v>
      </c>
      <c r="E169" s="8">
        <v>3</v>
      </c>
      <c r="F169" s="7">
        <v>43542</v>
      </c>
      <c r="G169" s="8">
        <v>56</v>
      </c>
      <c r="H169" s="8" t="s">
        <v>89</v>
      </c>
      <c r="I169" s="9">
        <v>21.5</v>
      </c>
      <c r="J169" s="9">
        <v>20.6</v>
      </c>
      <c r="K169" s="9">
        <v>1.81</v>
      </c>
      <c r="L169" s="8">
        <v>172.1</v>
      </c>
      <c r="M169" s="8">
        <v>160.6</v>
      </c>
      <c r="N169" s="9">
        <v>7.5</v>
      </c>
      <c r="O169" s="8">
        <v>0.65600000000000003</v>
      </c>
      <c r="P169" s="8">
        <f>SUM(Table39[[#This Row],[Chironominae ]:[Hydrachnidia]])</f>
        <v>24</v>
      </c>
      <c r="Q169" s="4">
        <v>1</v>
      </c>
      <c r="R169" s="4">
        <v>10</v>
      </c>
      <c r="S169" s="4">
        <v>0</v>
      </c>
      <c r="T169" s="4">
        <v>1</v>
      </c>
      <c r="U169" s="4">
        <v>0</v>
      </c>
      <c r="V169" s="4">
        <v>0</v>
      </c>
      <c r="W169" s="4">
        <v>0</v>
      </c>
      <c r="X169" s="4">
        <v>4</v>
      </c>
      <c r="Y169" s="4">
        <v>0</v>
      </c>
      <c r="Z169" s="4">
        <v>0</v>
      </c>
      <c r="AA169" s="4">
        <v>3</v>
      </c>
      <c r="AB169" s="4">
        <v>0</v>
      </c>
      <c r="AC169" s="4">
        <v>1</v>
      </c>
      <c r="AD169" s="4">
        <v>0</v>
      </c>
      <c r="AE169" s="4">
        <v>0</v>
      </c>
      <c r="AF169" s="4">
        <v>0</v>
      </c>
      <c r="AG169" s="4">
        <v>1</v>
      </c>
      <c r="AH169" s="4">
        <v>0</v>
      </c>
      <c r="AI169" s="4">
        <v>3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</row>
    <row r="170" spans="1:48" x14ac:dyDescent="0.2">
      <c r="A170" s="6" t="s">
        <v>183</v>
      </c>
      <c r="B170" s="6" t="s">
        <v>54</v>
      </c>
      <c r="C170" s="15">
        <v>7</v>
      </c>
      <c r="D170" s="14">
        <v>43598</v>
      </c>
      <c r="E170" s="8">
        <v>1</v>
      </c>
      <c r="F170" s="7">
        <v>43542</v>
      </c>
      <c r="G170" s="8">
        <v>56</v>
      </c>
      <c r="H170" s="8" t="s">
        <v>89</v>
      </c>
      <c r="I170" s="9">
        <v>22</v>
      </c>
      <c r="J170" s="9">
        <v>129.5</v>
      </c>
      <c r="K170" s="9">
        <v>11.32</v>
      </c>
      <c r="L170" s="8">
        <v>216.8</v>
      </c>
      <c r="M170" s="8">
        <v>204.3</v>
      </c>
      <c r="N170" s="9">
        <v>7.7</v>
      </c>
      <c r="O170" s="8">
        <v>0.77600000000000002</v>
      </c>
      <c r="P170" s="8">
        <f>SUM(Table39[[#This Row],[Chironominae ]:[Hydrachnidia]])</f>
        <v>104</v>
      </c>
      <c r="Q170" s="4">
        <v>16</v>
      </c>
      <c r="R170" s="4">
        <v>7</v>
      </c>
      <c r="S170" s="4">
        <v>0</v>
      </c>
      <c r="T170" s="4">
        <v>3</v>
      </c>
      <c r="U170" s="4">
        <v>1</v>
      </c>
      <c r="V170" s="4">
        <v>3</v>
      </c>
      <c r="W170" s="4">
        <v>0</v>
      </c>
      <c r="X170" s="4">
        <v>4</v>
      </c>
      <c r="Y170" s="4">
        <v>0</v>
      </c>
      <c r="Z170" s="4">
        <v>0</v>
      </c>
      <c r="AA170" s="4">
        <v>9</v>
      </c>
      <c r="AB170" s="4">
        <v>59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2</v>
      </c>
    </row>
    <row r="171" spans="1:48" x14ac:dyDescent="0.2">
      <c r="A171" s="6" t="s">
        <v>184</v>
      </c>
      <c r="B171" s="6" t="s">
        <v>54</v>
      </c>
      <c r="C171" s="15">
        <v>7</v>
      </c>
      <c r="D171" s="14">
        <v>43598</v>
      </c>
      <c r="E171" s="8">
        <v>2</v>
      </c>
      <c r="F171" s="7">
        <v>43542</v>
      </c>
      <c r="G171" s="8">
        <v>56</v>
      </c>
      <c r="H171" s="8" t="s">
        <v>89</v>
      </c>
      <c r="I171" s="9">
        <v>22</v>
      </c>
      <c r="J171" s="9">
        <v>129.5</v>
      </c>
      <c r="K171" s="9">
        <v>11.32</v>
      </c>
      <c r="L171" s="8">
        <v>216.8</v>
      </c>
      <c r="M171" s="8">
        <v>204.3</v>
      </c>
      <c r="N171" s="9">
        <v>7.7</v>
      </c>
      <c r="O171" s="8">
        <v>0.77600000000000002</v>
      </c>
      <c r="P171" s="8">
        <f>SUM(Table39[[#This Row],[Chironominae ]:[Hydrachnidia]])</f>
        <v>91</v>
      </c>
      <c r="Q171" s="4">
        <v>43</v>
      </c>
      <c r="R171" s="4">
        <v>6</v>
      </c>
      <c r="S171" s="4">
        <v>0</v>
      </c>
      <c r="T171" s="4">
        <v>4</v>
      </c>
      <c r="U171" s="4">
        <v>2</v>
      </c>
      <c r="V171" s="4">
        <v>1</v>
      </c>
      <c r="W171" s="4">
        <v>0</v>
      </c>
      <c r="X171" s="4">
        <v>4</v>
      </c>
      <c r="Y171" s="4">
        <v>5</v>
      </c>
      <c r="Z171" s="4">
        <v>0</v>
      </c>
      <c r="AA171" s="4">
        <v>14</v>
      </c>
      <c r="AB171" s="4">
        <v>9</v>
      </c>
      <c r="AC171" s="4">
        <v>1</v>
      </c>
      <c r="AD171" s="4">
        <v>1</v>
      </c>
      <c r="AE171" s="4">
        <v>0</v>
      </c>
      <c r="AF171" s="4">
        <v>1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</row>
    <row r="172" spans="1:48" x14ac:dyDescent="0.2">
      <c r="A172" s="6" t="s">
        <v>185</v>
      </c>
      <c r="B172" s="6" t="s">
        <v>54</v>
      </c>
      <c r="C172" s="15">
        <v>7</v>
      </c>
      <c r="D172" s="14">
        <v>43598</v>
      </c>
      <c r="E172" s="8">
        <v>3</v>
      </c>
      <c r="F172" s="7">
        <v>43542</v>
      </c>
      <c r="G172" s="8">
        <v>56</v>
      </c>
      <c r="H172" s="8" t="s">
        <v>89</v>
      </c>
      <c r="I172" s="9">
        <v>22</v>
      </c>
      <c r="J172" s="9">
        <v>129.5</v>
      </c>
      <c r="K172" s="9">
        <v>11.32</v>
      </c>
      <c r="L172" s="8">
        <v>216.8</v>
      </c>
      <c r="M172" s="8">
        <v>204.3</v>
      </c>
      <c r="N172" s="9">
        <v>7.7</v>
      </c>
      <c r="O172" s="8">
        <v>0.77600000000000002</v>
      </c>
      <c r="P172" s="8">
        <f>SUM(Table39[[#This Row],[Chironominae ]:[Hydrachnidia]])</f>
        <v>202</v>
      </c>
      <c r="Q172" s="4">
        <v>69</v>
      </c>
      <c r="R172" s="4">
        <v>10</v>
      </c>
      <c r="S172" s="4">
        <v>0</v>
      </c>
      <c r="T172" s="4">
        <v>0</v>
      </c>
      <c r="U172" s="4">
        <v>18</v>
      </c>
      <c r="V172" s="4">
        <v>1</v>
      </c>
      <c r="W172" s="4">
        <v>0</v>
      </c>
      <c r="X172" s="4">
        <v>33</v>
      </c>
      <c r="Y172" s="4">
        <v>0</v>
      </c>
      <c r="Z172" s="4">
        <v>0</v>
      </c>
      <c r="AA172" s="4">
        <v>2</v>
      </c>
      <c r="AB172" s="4">
        <v>66</v>
      </c>
      <c r="AC172" s="4">
        <v>2</v>
      </c>
      <c r="AD172" s="4">
        <v>0</v>
      </c>
      <c r="AE172" s="4">
        <v>0</v>
      </c>
      <c r="AF172" s="4">
        <v>1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</row>
    <row r="173" spans="1:48" x14ac:dyDescent="0.2">
      <c r="A173" s="12" t="s">
        <v>186</v>
      </c>
      <c r="B173" s="6" t="s">
        <v>54</v>
      </c>
      <c r="C173" s="15">
        <v>10</v>
      </c>
      <c r="D173" s="7">
        <v>43598</v>
      </c>
      <c r="E173" s="8">
        <v>1</v>
      </c>
      <c r="F173" s="7">
        <v>43542</v>
      </c>
      <c r="G173" s="8">
        <v>56</v>
      </c>
      <c r="H173" s="8" t="s">
        <v>89</v>
      </c>
      <c r="I173" s="9">
        <v>23.3</v>
      </c>
      <c r="J173" s="9">
        <v>120.3</v>
      </c>
      <c r="K173" s="9">
        <v>10.27</v>
      </c>
      <c r="L173" s="8">
        <v>202.3</v>
      </c>
      <c r="M173" s="8">
        <v>195</v>
      </c>
      <c r="N173" s="9">
        <v>7.46</v>
      </c>
      <c r="O173" s="8">
        <v>1.569</v>
      </c>
      <c r="P173" s="8">
        <f>SUM(Table39[[#This Row],[Chironominae ]:[Hydrachnidia]])</f>
        <v>80</v>
      </c>
      <c r="Q173" s="4">
        <v>0</v>
      </c>
      <c r="R173" s="4">
        <v>4</v>
      </c>
      <c r="S173" s="4">
        <v>0</v>
      </c>
      <c r="T173" s="4">
        <v>1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69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3</v>
      </c>
    </row>
    <row r="174" spans="1:48" x14ac:dyDescent="0.2">
      <c r="A174" s="12" t="s">
        <v>187</v>
      </c>
      <c r="B174" s="6" t="s">
        <v>54</v>
      </c>
      <c r="C174" s="15">
        <v>10</v>
      </c>
      <c r="D174" s="7">
        <v>43598</v>
      </c>
      <c r="E174" s="8">
        <v>2</v>
      </c>
      <c r="F174" s="7">
        <v>43542</v>
      </c>
      <c r="G174" s="8">
        <v>56</v>
      </c>
      <c r="H174" s="8" t="s">
        <v>89</v>
      </c>
      <c r="I174" s="9">
        <v>23.3</v>
      </c>
      <c r="J174" s="9">
        <v>120.3</v>
      </c>
      <c r="K174" s="9">
        <v>10.27</v>
      </c>
      <c r="L174" s="8">
        <v>202.3</v>
      </c>
      <c r="M174" s="8">
        <v>195</v>
      </c>
      <c r="N174" s="9">
        <v>7.46</v>
      </c>
      <c r="O174" s="8">
        <v>1.569</v>
      </c>
      <c r="P174" s="8">
        <f>SUM(Table39[[#This Row],[Chironominae ]:[Hydrachnidia]])</f>
        <v>35</v>
      </c>
      <c r="Q174" s="4">
        <v>0</v>
      </c>
      <c r="R174" s="4">
        <v>10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19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5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</row>
    <row r="175" spans="1:48" x14ac:dyDescent="0.2">
      <c r="A175" s="12" t="s">
        <v>188</v>
      </c>
      <c r="B175" s="6" t="s">
        <v>54</v>
      </c>
      <c r="C175" s="15">
        <v>10</v>
      </c>
      <c r="D175" s="7">
        <v>43598</v>
      </c>
      <c r="E175" s="8">
        <v>3</v>
      </c>
      <c r="F175" s="7">
        <v>43542</v>
      </c>
      <c r="G175" s="8">
        <v>56</v>
      </c>
      <c r="H175" s="8" t="s">
        <v>89</v>
      </c>
      <c r="I175" s="9">
        <v>23.3</v>
      </c>
      <c r="J175" s="9">
        <v>120.3</v>
      </c>
      <c r="K175" s="9">
        <v>10.27</v>
      </c>
      <c r="L175" s="8">
        <v>202.3</v>
      </c>
      <c r="M175" s="8">
        <v>195</v>
      </c>
      <c r="N175" s="9">
        <v>7.46</v>
      </c>
      <c r="O175" s="8">
        <v>1.569</v>
      </c>
      <c r="P175" s="8">
        <f>SUM(Table39[[#This Row],[Chironominae ]:[Hydrachnidia]])</f>
        <v>111</v>
      </c>
      <c r="Q175" s="4">
        <v>14</v>
      </c>
      <c r="R175" s="4">
        <v>69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6</v>
      </c>
      <c r="Y175" s="4">
        <v>0</v>
      </c>
      <c r="Z175" s="4">
        <v>1</v>
      </c>
      <c r="AA175" s="4">
        <v>17</v>
      </c>
      <c r="AB175" s="4">
        <v>2</v>
      </c>
      <c r="AC175" s="4">
        <v>2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</row>
    <row r="176" spans="1:48" x14ac:dyDescent="0.2">
      <c r="A176" s="12" t="s">
        <v>189</v>
      </c>
      <c r="B176" s="6" t="s">
        <v>49</v>
      </c>
      <c r="C176" s="15">
        <v>11</v>
      </c>
      <c r="D176" s="7">
        <v>43598</v>
      </c>
      <c r="E176" s="8">
        <v>1</v>
      </c>
      <c r="F176" s="7">
        <v>43542</v>
      </c>
      <c r="G176" s="8">
        <v>56</v>
      </c>
      <c r="H176" s="8" t="s">
        <v>89</v>
      </c>
      <c r="I176" s="9">
        <v>21.6</v>
      </c>
      <c r="J176" s="9">
        <v>40.5</v>
      </c>
      <c r="K176" s="9">
        <v>3.57</v>
      </c>
      <c r="L176" s="8">
        <v>180.3</v>
      </c>
      <c r="M176" s="8">
        <v>168.2</v>
      </c>
      <c r="N176" s="9">
        <v>7.66</v>
      </c>
      <c r="O176" s="8">
        <v>0.79400000000000004</v>
      </c>
      <c r="P176" s="8">
        <f>SUM(Table39[[#This Row],[Chironominae ]:[Hydrachnidia]])</f>
        <v>12</v>
      </c>
      <c r="Q176" s="4">
        <v>0</v>
      </c>
      <c r="R176" s="4">
        <v>9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</row>
    <row r="177" spans="1:48" x14ac:dyDescent="0.2">
      <c r="A177" s="6"/>
      <c r="B177" s="6" t="s">
        <v>49</v>
      </c>
      <c r="C177" s="6">
        <v>11</v>
      </c>
      <c r="D177" s="7">
        <v>43598</v>
      </c>
      <c r="E177" s="8">
        <v>2</v>
      </c>
      <c r="F177" s="7">
        <v>43542</v>
      </c>
      <c r="G177" s="8">
        <v>56</v>
      </c>
      <c r="H177" s="8" t="s">
        <v>89</v>
      </c>
      <c r="I177" s="9">
        <v>21.6</v>
      </c>
      <c r="J177" s="9">
        <v>40.5</v>
      </c>
      <c r="K177" s="9">
        <v>3.57</v>
      </c>
      <c r="L177" s="8">
        <v>180.3</v>
      </c>
      <c r="M177" s="8">
        <v>168.2</v>
      </c>
      <c r="N177" s="9">
        <v>7.66</v>
      </c>
      <c r="O177" s="8">
        <v>0.79400000000000004</v>
      </c>
      <c r="P177" s="8">
        <f>SUM(Table39[[#This Row],[Chironominae ]:[Hydrachnidia]])</f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</row>
    <row r="178" spans="1:48" x14ac:dyDescent="0.2">
      <c r="A178" s="12" t="s">
        <v>190</v>
      </c>
      <c r="B178" s="6" t="s">
        <v>49</v>
      </c>
      <c r="C178" s="6">
        <v>11</v>
      </c>
      <c r="D178" s="7">
        <v>43598</v>
      </c>
      <c r="E178" s="8">
        <v>3</v>
      </c>
      <c r="F178" s="7">
        <v>43542</v>
      </c>
      <c r="G178" s="8">
        <v>56</v>
      </c>
      <c r="H178" s="8" t="s">
        <v>89</v>
      </c>
      <c r="I178" s="9">
        <v>21.6</v>
      </c>
      <c r="J178" s="9">
        <v>40.5</v>
      </c>
      <c r="K178" s="9">
        <v>3.57</v>
      </c>
      <c r="L178" s="8">
        <v>180.3</v>
      </c>
      <c r="M178" s="8">
        <v>168.2</v>
      </c>
      <c r="N178" s="9">
        <v>7.66</v>
      </c>
      <c r="O178" s="8">
        <v>0.79400000000000004</v>
      </c>
      <c r="P178" s="8">
        <f>SUM(Table39[[#This Row],[Chironominae ]:[Hydrachnidia]])</f>
        <v>40</v>
      </c>
      <c r="Q178" s="4">
        <v>10</v>
      </c>
      <c r="R178" s="4">
        <v>7</v>
      </c>
      <c r="S178" s="4">
        <v>0</v>
      </c>
      <c r="T178" s="4">
        <v>0</v>
      </c>
      <c r="U178" s="4">
        <v>0</v>
      </c>
      <c r="V178" s="4">
        <v>3</v>
      </c>
      <c r="W178" s="4">
        <v>0</v>
      </c>
      <c r="X178" s="4">
        <v>5</v>
      </c>
      <c r="Y178" s="4">
        <v>0</v>
      </c>
      <c r="Z178" s="4">
        <v>0</v>
      </c>
      <c r="AA178" s="4">
        <v>9</v>
      </c>
      <c r="AB178" s="4">
        <v>1</v>
      </c>
      <c r="AC178" s="4">
        <v>0</v>
      </c>
      <c r="AD178" s="4">
        <v>2</v>
      </c>
      <c r="AE178" s="4">
        <v>0</v>
      </c>
      <c r="AF178" s="4">
        <v>0</v>
      </c>
      <c r="AG178" s="4">
        <v>0</v>
      </c>
      <c r="AH178" s="4">
        <v>1</v>
      </c>
      <c r="AI178" s="4">
        <v>2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</row>
    <row r="179" spans="1:48" x14ac:dyDescent="0.2">
      <c r="A179" s="10" t="s">
        <v>191</v>
      </c>
      <c r="B179" s="6" t="s">
        <v>54</v>
      </c>
      <c r="C179" s="6">
        <v>2</v>
      </c>
      <c r="D179" s="7">
        <v>43633</v>
      </c>
      <c r="E179" s="8">
        <v>1</v>
      </c>
      <c r="F179" s="7">
        <v>43542</v>
      </c>
      <c r="G179" s="8">
        <v>91</v>
      </c>
      <c r="H179" s="8" t="s">
        <v>111</v>
      </c>
      <c r="I179" s="9">
        <v>29.4</v>
      </c>
      <c r="J179" s="9">
        <v>262.2</v>
      </c>
      <c r="K179" s="9">
        <v>19.95</v>
      </c>
      <c r="L179" s="8">
        <v>140.6</v>
      </c>
      <c r="M179" s="8">
        <v>152.80000000000001</v>
      </c>
      <c r="N179" s="9">
        <v>8.75</v>
      </c>
      <c r="O179" s="8">
        <v>0.56699999999999995</v>
      </c>
      <c r="P179" s="8">
        <f>SUM(Table39[[#This Row],[Chironominae ]:[Hydrachnidia]])</f>
        <v>22</v>
      </c>
      <c r="Q179" s="4">
        <v>7</v>
      </c>
      <c r="R179" s="4">
        <v>0</v>
      </c>
      <c r="S179" s="4">
        <v>0</v>
      </c>
      <c r="T179" s="4">
        <v>2</v>
      </c>
      <c r="U179" s="4">
        <v>2</v>
      </c>
      <c r="V179" s="4">
        <v>0</v>
      </c>
      <c r="W179" s="4">
        <v>1</v>
      </c>
      <c r="X179" s="4">
        <v>1</v>
      </c>
      <c r="Y179" s="4">
        <v>0</v>
      </c>
      <c r="Z179" s="4">
        <v>0</v>
      </c>
      <c r="AA179" s="4">
        <v>5</v>
      </c>
      <c r="AB179" s="4">
        <v>1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3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</row>
    <row r="180" spans="1:48" x14ac:dyDescent="0.2">
      <c r="A180" s="6" t="s">
        <v>192</v>
      </c>
      <c r="B180" s="6" t="s">
        <v>54</v>
      </c>
      <c r="C180" s="6">
        <v>2</v>
      </c>
      <c r="D180" s="7">
        <v>43633</v>
      </c>
      <c r="E180" s="8">
        <v>2</v>
      </c>
      <c r="F180" s="7">
        <v>43542</v>
      </c>
      <c r="G180" s="8">
        <v>91</v>
      </c>
      <c r="H180" s="8" t="s">
        <v>111</v>
      </c>
      <c r="I180" s="9">
        <v>29.4</v>
      </c>
      <c r="J180" s="9">
        <v>262.2</v>
      </c>
      <c r="K180" s="9">
        <v>19.95</v>
      </c>
      <c r="L180" s="8">
        <v>140.6</v>
      </c>
      <c r="M180" s="8">
        <v>152.80000000000001</v>
      </c>
      <c r="N180" s="9">
        <v>8.75</v>
      </c>
      <c r="O180" s="8">
        <v>0.56699999999999995</v>
      </c>
      <c r="P180" s="8">
        <f>SUM(Table39[[#This Row],[Chironominae ]:[Hydrachnidia]])</f>
        <v>144</v>
      </c>
      <c r="Q180" s="4">
        <v>10</v>
      </c>
      <c r="R180" s="4">
        <v>0</v>
      </c>
      <c r="S180" s="4">
        <v>0</v>
      </c>
      <c r="T180" s="4">
        <v>0</v>
      </c>
      <c r="U180" s="4">
        <v>47</v>
      </c>
      <c r="V180" s="4">
        <v>0</v>
      </c>
      <c r="W180" s="4">
        <v>0</v>
      </c>
      <c r="X180" s="4">
        <v>5</v>
      </c>
      <c r="Y180" s="4">
        <v>0</v>
      </c>
      <c r="Z180" s="4">
        <v>0</v>
      </c>
      <c r="AA180" s="4">
        <v>0</v>
      </c>
      <c r="AB180" s="4">
        <v>0</v>
      </c>
      <c r="AC180" s="4">
        <v>2</v>
      </c>
      <c r="AD180" s="4">
        <v>0</v>
      </c>
      <c r="AE180" s="4">
        <f>SUM([1]Hemerodromia!F3:J3)</f>
        <v>18</v>
      </c>
      <c r="AF180" s="4">
        <v>26</v>
      </c>
      <c r="AG180" s="4">
        <v>0</v>
      </c>
      <c r="AH180" s="4">
        <v>0</v>
      </c>
      <c r="AI180" s="4">
        <v>31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</v>
      </c>
      <c r="AQ180" s="4">
        <v>1</v>
      </c>
      <c r="AR180" s="4">
        <v>0</v>
      </c>
      <c r="AS180" s="4">
        <v>0</v>
      </c>
      <c r="AT180" s="4">
        <v>2</v>
      </c>
      <c r="AU180" s="4">
        <v>0</v>
      </c>
      <c r="AV180" s="4">
        <v>1</v>
      </c>
    </row>
    <row r="181" spans="1:48" x14ac:dyDescent="0.2">
      <c r="A181" s="6" t="s">
        <v>193</v>
      </c>
      <c r="B181" s="6" t="s">
        <v>54</v>
      </c>
      <c r="C181" s="6">
        <v>2</v>
      </c>
      <c r="D181" s="7">
        <v>43633</v>
      </c>
      <c r="E181" s="8">
        <v>3</v>
      </c>
      <c r="F181" s="7">
        <v>43542</v>
      </c>
      <c r="G181" s="8">
        <v>91</v>
      </c>
      <c r="H181" s="8" t="s">
        <v>111</v>
      </c>
      <c r="I181" s="9">
        <v>29.4</v>
      </c>
      <c r="J181" s="9">
        <v>262.2</v>
      </c>
      <c r="K181" s="9">
        <v>19.95</v>
      </c>
      <c r="L181" s="8">
        <v>140.6</v>
      </c>
      <c r="M181" s="8">
        <v>152.80000000000001</v>
      </c>
      <c r="N181" s="9">
        <v>8.75</v>
      </c>
      <c r="O181" s="8">
        <v>0.56699999999999995</v>
      </c>
      <c r="P181" s="8">
        <f>SUM(Table39[[#This Row],[Chironominae ]:[Hydrachnidia]])</f>
        <v>76</v>
      </c>
      <c r="Q181" s="4">
        <v>13</v>
      </c>
      <c r="R181" s="4">
        <v>7</v>
      </c>
      <c r="S181" s="4">
        <v>0</v>
      </c>
      <c r="T181" s="4">
        <v>0</v>
      </c>
      <c r="U181" s="4">
        <v>33</v>
      </c>
      <c r="V181" s="4">
        <v>0</v>
      </c>
      <c r="W181" s="4">
        <v>0</v>
      </c>
      <c r="X181" s="4">
        <v>1</v>
      </c>
      <c r="Y181" s="4">
        <v>0</v>
      </c>
      <c r="Z181" s="4">
        <v>0</v>
      </c>
      <c r="AA181" s="4">
        <v>9</v>
      </c>
      <c r="AB181" s="4">
        <v>0</v>
      </c>
      <c r="AC181" s="4">
        <v>0</v>
      </c>
      <c r="AD181" s="4">
        <v>0</v>
      </c>
      <c r="AE181" s="4">
        <v>0</v>
      </c>
      <c r="AF181" s="4">
        <v>2</v>
      </c>
      <c r="AG181" s="4">
        <v>0</v>
      </c>
      <c r="AH181" s="4">
        <v>4</v>
      </c>
      <c r="AI181" s="4">
        <v>7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</row>
    <row r="182" spans="1:48" x14ac:dyDescent="0.2">
      <c r="A182" s="12" t="s">
        <v>194</v>
      </c>
      <c r="B182" s="6" t="s">
        <v>49</v>
      </c>
      <c r="C182" s="6">
        <v>4</v>
      </c>
      <c r="D182" s="7">
        <v>43633</v>
      </c>
      <c r="E182" s="8">
        <v>1</v>
      </c>
      <c r="F182" s="7">
        <v>43542</v>
      </c>
      <c r="G182" s="8">
        <v>91</v>
      </c>
      <c r="H182" s="8" t="s">
        <v>111</v>
      </c>
      <c r="I182" s="9">
        <v>33.299999999999997</v>
      </c>
      <c r="J182" s="9">
        <v>200</v>
      </c>
      <c r="K182" s="9">
        <v>14.21</v>
      </c>
      <c r="L182" s="8">
        <v>166.9</v>
      </c>
      <c r="M182" s="8">
        <v>194.1</v>
      </c>
      <c r="N182" s="9">
        <v>8.92</v>
      </c>
      <c r="O182" s="8">
        <v>2.1999999999999999E-2</v>
      </c>
      <c r="P182" s="8">
        <f>SUM(Table39[[#This Row],[Chironominae ]:[Hydrachnidia]])</f>
        <v>48</v>
      </c>
      <c r="Q182" s="4">
        <v>2</v>
      </c>
      <c r="R182" s="4">
        <v>3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17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0</v>
      </c>
      <c r="AE182" s="4">
        <v>0</v>
      </c>
      <c r="AF182" s="4">
        <v>11</v>
      </c>
      <c r="AG182" s="4">
        <v>0</v>
      </c>
      <c r="AH182" s="4">
        <v>0</v>
      </c>
      <c r="AI182" s="4">
        <v>12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</row>
    <row r="183" spans="1:48" x14ac:dyDescent="0.2">
      <c r="A183" s="12" t="s">
        <v>195</v>
      </c>
      <c r="B183" s="6" t="s">
        <v>49</v>
      </c>
      <c r="C183" s="6">
        <v>4</v>
      </c>
      <c r="D183" s="7">
        <v>43633</v>
      </c>
      <c r="E183" s="8">
        <v>2</v>
      </c>
      <c r="F183" s="7">
        <v>43542</v>
      </c>
      <c r="G183" s="8">
        <v>91</v>
      </c>
      <c r="H183" s="8" t="s">
        <v>111</v>
      </c>
      <c r="I183" s="9">
        <v>33.299999999999997</v>
      </c>
      <c r="J183" s="9">
        <v>200</v>
      </c>
      <c r="K183" s="9">
        <v>14.21</v>
      </c>
      <c r="L183" s="8">
        <v>166.9</v>
      </c>
      <c r="M183" s="8">
        <v>194.1</v>
      </c>
      <c r="N183" s="9">
        <v>8.92</v>
      </c>
      <c r="O183" s="8">
        <v>2.1999999999999999E-2</v>
      </c>
      <c r="P183" s="8">
        <f>SUM(Table39[[#This Row],[Chironominae ]:[Hydrachnidia]])</f>
        <v>39</v>
      </c>
      <c r="Q183" s="4">
        <v>4</v>
      </c>
      <c r="R183" s="4">
        <v>5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12</v>
      </c>
      <c r="Y183" s="4">
        <v>0</v>
      </c>
      <c r="Z183" s="4">
        <v>0</v>
      </c>
      <c r="AA183" s="4">
        <v>5</v>
      </c>
      <c r="AB183" s="4">
        <v>3</v>
      </c>
      <c r="AC183" s="4">
        <v>0</v>
      </c>
      <c r="AD183" s="4">
        <v>0</v>
      </c>
      <c r="AE183" s="4">
        <v>0</v>
      </c>
      <c r="AF183" s="4">
        <v>7</v>
      </c>
      <c r="AG183" s="4">
        <v>0</v>
      </c>
      <c r="AH183" s="4">
        <v>0</v>
      </c>
      <c r="AI183" s="4">
        <v>3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</row>
    <row r="184" spans="1:48" x14ac:dyDescent="0.2">
      <c r="A184" s="12" t="s">
        <v>196</v>
      </c>
      <c r="B184" s="6" t="s">
        <v>49</v>
      </c>
      <c r="C184" s="6">
        <v>4</v>
      </c>
      <c r="D184" s="7">
        <v>43633</v>
      </c>
      <c r="E184" s="8">
        <v>3</v>
      </c>
      <c r="F184" s="7">
        <v>43542</v>
      </c>
      <c r="G184" s="8">
        <v>91</v>
      </c>
      <c r="H184" s="8" t="s">
        <v>111</v>
      </c>
      <c r="I184" s="9">
        <v>33.299999999999997</v>
      </c>
      <c r="J184" s="9">
        <v>200</v>
      </c>
      <c r="K184" s="9">
        <v>14.21</v>
      </c>
      <c r="L184" s="8">
        <v>166.9</v>
      </c>
      <c r="M184" s="8">
        <v>194.1</v>
      </c>
      <c r="N184" s="9">
        <v>8.92</v>
      </c>
      <c r="O184" s="8">
        <v>2.1999999999999999E-2</v>
      </c>
      <c r="P184" s="8">
        <f>SUM(Table39[[#This Row],[Chironominae ]:[Hydrachnidia]])</f>
        <v>53</v>
      </c>
      <c r="Q184" s="4">
        <v>2</v>
      </c>
      <c r="R184" s="4">
        <v>12</v>
      </c>
      <c r="S184" s="4">
        <v>0</v>
      </c>
      <c r="T184" s="4">
        <v>3</v>
      </c>
      <c r="U184" s="4">
        <v>0</v>
      </c>
      <c r="V184" s="4">
        <v>0</v>
      </c>
      <c r="W184" s="4">
        <v>0</v>
      </c>
      <c r="X184" s="4">
        <v>6</v>
      </c>
      <c r="Y184" s="4">
        <v>2</v>
      </c>
      <c r="Z184" s="4">
        <v>0</v>
      </c>
      <c r="AA184" s="4">
        <v>13</v>
      </c>
      <c r="AB184" s="4">
        <v>0</v>
      </c>
      <c r="AC184" s="4">
        <v>0</v>
      </c>
      <c r="AD184" s="4">
        <v>0</v>
      </c>
      <c r="AE184" s="4">
        <v>0</v>
      </c>
      <c r="AF184" s="4">
        <v>15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</row>
    <row r="185" spans="1:48" x14ac:dyDescent="0.2">
      <c r="A185" s="6" t="s">
        <v>197</v>
      </c>
      <c r="B185" s="6" t="s">
        <v>54</v>
      </c>
      <c r="C185" s="6">
        <v>7</v>
      </c>
      <c r="D185" s="7">
        <v>43633</v>
      </c>
      <c r="E185" s="8">
        <v>1</v>
      </c>
      <c r="F185" s="7">
        <v>43542</v>
      </c>
      <c r="G185" s="8">
        <v>91</v>
      </c>
      <c r="H185" s="8" t="s">
        <v>111</v>
      </c>
      <c r="I185" s="9">
        <v>31.9</v>
      </c>
      <c r="J185" s="9">
        <v>762.8</v>
      </c>
      <c r="K185" s="9">
        <v>182.1</v>
      </c>
      <c r="L185" s="8">
        <v>146</v>
      </c>
      <c r="M185" s="8">
        <v>165.1</v>
      </c>
      <c r="N185" s="9">
        <v>8.86</v>
      </c>
      <c r="O185" s="8">
        <v>0.36899999999999999</v>
      </c>
      <c r="P185" s="8">
        <f>SUM(Table39[[#This Row],[Chironominae ]:[Hydrachnidia]])</f>
        <v>137</v>
      </c>
      <c r="Q185" s="4">
        <v>85</v>
      </c>
      <c r="R185" s="4">
        <v>2</v>
      </c>
      <c r="S185" s="4">
        <v>0</v>
      </c>
      <c r="T185" s="4">
        <v>0</v>
      </c>
      <c r="U185" s="4">
        <v>1</v>
      </c>
      <c r="V185" s="4">
        <v>9</v>
      </c>
      <c r="W185" s="4">
        <v>0</v>
      </c>
      <c r="X185" s="4">
        <v>3</v>
      </c>
      <c r="Y185" s="4">
        <v>0</v>
      </c>
      <c r="Z185" s="4">
        <v>0</v>
      </c>
      <c r="AA185" s="4">
        <v>5</v>
      </c>
      <c r="AB185" s="4">
        <v>31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1</v>
      </c>
    </row>
    <row r="186" spans="1:48" x14ac:dyDescent="0.2">
      <c r="A186" s="6" t="s">
        <v>198</v>
      </c>
      <c r="B186" s="6" t="s">
        <v>54</v>
      </c>
      <c r="C186" s="6">
        <v>7</v>
      </c>
      <c r="D186" s="7">
        <v>43633</v>
      </c>
      <c r="E186" s="8">
        <v>2</v>
      </c>
      <c r="F186" s="7">
        <v>43542</v>
      </c>
      <c r="G186" s="8">
        <v>91</v>
      </c>
      <c r="H186" s="8" t="s">
        <v>111</v>
      </c>
      <c r="I186" s="9">
        <v>31.9</v>
      </c>
      <c r="J186" s="9">
        <v>762.8</v>
      </c>
      <c r="K186" s="9">
        <v>182.1</v>
      </c>
      <c r="L186" s="8">
        <v>146</v>
      </c>
      <c r="M186" s="8">
        <v>165.1</v>
      </c>
      <c r="N186" s="9">
        <v>8.86</v>
      </c>
      <c r="O186" s="8">
        <v>0.36899999999999999</v>
      </c>
      <c r="P186" s="8">
        <f>SUM(Table39[[#This Row],[Chironominae ]:[Hydrachnidia]])</f>
        <v>278</v>
      </c>
      <c r="Q186" s="4">
        <v>97</v>
      </c>
      <c r="R186" s="4">
        <v>5</v>
      </c>
      <c r="S186" s="4">
        <v>0</v>
      </c>
      <c r="T186" s="4">
        <v>0</v>
      </c>
      <c r="U186" s="4">
        <v>1</v>
      </c>
      <c r="V186" s="4">
        <v>5</v>
      </c>
      <c r="W186" s="4">
        <v>0</v>
      </c>
      <c r="X186" s="4">
        <v>4</v>
      </c>
      <c r="Y186" s="4">
        <v>0</v>
      </c>
      <c r="Z186" s="4">
        <v>0</v>
      </c>
      <c r="AA186" s="4">
        <v>1</v>
      </c>
      <c r="AB186" s="4">
        <v>165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</row>
    <row r="187" spans="1:48" x14ac:dyDescent="0.2">
      <c r="A187" s="6"/>
      <c r="B187" s="6" t="s">
        <v>54</v>
      </c>
      <c r="C187" s="6">
        <v>7</v>
      </c>
      <c r="D187" s="7">
        <v>43633</v>
      </c>
      <c r="E187" s="8">
        <v>3</v>
      </c>
      <c r="F187" s="7">
        <v>43542</v>
      </c>
      <c r="G187" s="8">
        <v>91</v>
      </c>
      <c r="H187" s="8" t="s">
        <v>111</v>
      </c>
      <c r="I187" s="9">
        <v>31.9</v>
      </c>
      <c r="J187" s="9">
        <v>762.8</v>
      </c>
      <c r="K187" s="9">
        <v>182.1</v>
      </c>
      <c r="L187" s="8">
        <v>146</v>
      </c>
      <c r="M187" s="8">
        <v>165.1</v>
      </c>
      <c r="N187" s="9">
        <v>8.86</v>
      </c>
      <c r="O187" s="8">
        <v>0.36899999999999999</v>
      </c>
      <c r="P187" s="8">
        <f>SUM(Table39[[#This Row],[Chironominae ]:[Hydrachnidia]])</f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</row>
    <row r="188" spans="1:48" x14ac:dyDescent="0.2">
      <c r="A188" s="6" t="s">
        <v>199</v>
      </c>
      <c r="B188" s="6" t="s">
        <v>54</v>
      </c>
      <c r="C188" s="6">
        <v>10</v>
      </c>
      <c r="D188" s="7">
        <v>43633</v>
      </c>
      <c r="E188" s="8">
        <v>1</v>
      </c>
      <c r="F188" s="7">
        <v>43542</v>
      </c>
      <c r="G188" s="8">
        <v>91</v>
      </c>
      <c r="H188" s="8" t="s">
        <v>111</v>
      </c>
      <c r="I188" s="9">
        <v>31</v>
      </c>
      <c r="J188" s="9">
        <v>193</v>
      </c>
      <c r="K188" s="9">
        <v>14.34</v>
      </c>
      <c r="L188" s="8">
        <v>138</v>
      </c>
      <c r="M188" s="8">
        <v>153.69999999999999</v>
      </c>
      <c r="N188" s="9">
        <v>9.09</v>
      </c>
      <c r="O188" s="8">
        <v>0.434</v>
      </c>
      <c r="P188" s="8">
        <f>SUM(Table39[[#This Row],[Chironominae ]:[Hydrachnidia]])</f>
        <v>39</v>
      </c>
      <c r="Q188" s="4">
        <v>9</v>
      </c>
      <c r="R188" s="4">
        <v>8</v>
      </c>
      <c r="S188" s="4">
        <v>0</v>
      </c>
      <c r="T188" s="4">
        <v>0</v>
      </c>
      <c r="U188" s="4">
        <v>0</v>
      </c>
      <c r="V188" s="4">
        <v>4</v>
      </c>
      <c r="W188" s="4">
        <v>0</v>
      </c>
      <c r="X188" s="4">
        <v>2</v>
      </c>
      <c r="Y188" s="4">
        <v>0</v>
      </c>
      <c r="Z188" s="4">
        <v>0</v>
      </c>
      <c r="AA188" s="4">
        <v>4</v>
      </c>
      <c r="AB188" s="4">
        <v>8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4</v>
      </c>
    </row>
    <row r="189" spans="1:48" x14ac:dyDescent="0.2">
      <c r="A189" s="6" t="s">
        <v>200</v>
      </c>
      <c r="B189" s="6" t="s">
        <v>54</v>
      </c>
      <c r="C189" s="6">
        <v>10</v>
      </c>
      <c r="D189" s="7">
        <v>43633</v>
      </c>
      <c r="E189" s="8">
        <v>2</v>
      </c>
      <c r="F189" s="7">
        <v>43542</v>
      </c>
      <c r="G189" s="8">
        <v>91</v>
      </c>
      <c r="H189" s="8" t="s">
        <v>111</v>
      </c>
      <c r="I189" s="9">
        <v>31</v>
      </c>
      <c r="J189" s="9">
        <v>193</v>
      </c>
      <c r="K189" s="9">
        <v>14.34</v>
      </c>
      <c r="L189" s="8">
        <v>138</v>
      </c>
      <c r="M189" s="8">
        <v>153.69999999999999</v>
      </c>
      <c r="N189" s="9">
        <v>9.09</v>
      </c>
      <c r="O189" s="8">
        <v>0.434</v>
      </c>
      <c r="P189" s="8">
        <f>SUM(Table39[[#This Row],[Chironominae ]:[Hydrachnidia]])</f>
        <v>98</v>
      </c>
      <c r="Q189" s="4">
        <v>39</v>
      </c>
      <c r="R189" s="4">
        <v>26</v>
      </c>
      <c r="S189" s="4">
        <v>0</v>
      </c>
      <c r="T189" s="4">
        <v>0</v>
      </c>
      <c r="U189" s="4">
        <v>0</v>
      </c>
      <c r="V189" s="4">
        <v>4</v>
      </c>
      <c r="W189" s="4">
        <v>0</v>
      </c>
      <c r="X189" s="4">
        <v>1</v>
      </c>
      <c r="Y189" s="4">
        <v>0</v>
      </c>
      <c r="Z189" s="4">
        <v>0</v>
      </c>
      <c r="AA189" s="4">
        <v>10</v>
      </c>
      <c r="AB189" s="4">
        <v>7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1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10</v>
      </c>
    </row>
    <row r="190" spans="1:48" x14ac:dyDescent="0.2">
      <c r="A190" s="6" t="s">
        <v>201</v>
      </c>
      <c r="B190" s="6" t="s">
        <v>54</v>
      </c>
      <c r="C190" s="6">
        <v>10</v>
      </c>
      <c r="D190" s="7">
        <v>43633</v>
      </c>
      <c r="E190" s="8">
        <v>3</v>
      </c>
      <c r="F190" s="7">
        <v>43542</v>
      </c>
      <c r="G190" s="8">
        <v>91</v>
      </c>
      <c r="H190" s="8" t="s">
        <v>111</v>
      </c>
      <c r="I190" s="9">
        <v>31</v>
      </c>
      <c r="J190" s="9">
        <v>193</v>
      </c>
      <c r="K190" s="9">
        <v>14.34</v>
      </c>
      <c r="L190" s="8">
        <v>138</v>
      </c>
      <c r="M190" s="8">
        <v>153.69999999999999</v>
      </c>
      <c r="N190" s="9">
        <v>9.09</v>
      </c>
      <c r="O190" s="8">
        <v>0.434</v>
      </c>
      <c r="P190" s="8">
        <f>SUM(Table39[[#This Row],[Chironominae ]:[Hydrachnidia]])</f>
        <v>225</v>
      </c>
      <c r="Q190" s="4">
        <v>51</v>
      </c>
      <c r="R190" s="4">
        <v>2</v>
      </c>
      <c r="S190" s="4">
        <v>0</v>
      </c>
      <c r="T190" s="4">
        <v>0</v>
      </c>
      <c r="U190" s="4">
        <v>0</v>
      </c>
      <c r="V190" s="4">
        <v>6</v>
      </c>
      <c r="W190" s="4">
        <v>0</v>
      </c>
      <c r="X190" s="4">
        <v>13</v>
      </c>
      <c r="Y190" s="4">
        <v>0</v>
      </c>
      <c r="Z190" s="4">
        <v>0</v>
      </c>
      <c r="AA190" s="4">
        <v>142</v>
      </c>
      <c r="AB190" s="4">
        <v>2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9</v>
      </c>
    </row>
    <row r="191" spans="1:48" x14ac:dyDescent="0.2">
      <c r="A191" s="6"/>
      <c r="B191" s="6" t="s">
        <v>54</v>
      </c>
      <c r="C191" s="6">
        <v>2</v>
      </c>
      <c r="D191" s="14">
        <v>43675</v>
      </c>
      <c r="E191" s="8">
        <v>1</v>
      </c>
      <c r="F191" s="7">
        <v>43542</v>
      </c>
      <c r="G191" s="8">
        <v>133</v>
      </c>
      <c r="H191" s="8" t="s">
        <v>111</v>
      </c>
      <c r="I191" s="8">
        <v>29.5</v>
      </c>
      <c r="J191" s="8">
        <v>147.69999999999999</v>
      </c>
      <c r="K191" s="8">
        <v>11.18</v>
      </c>
      <c r="L191" s="8">
        <v>131.19999999999999</v>
      </c>
      <c r="M191" s="8">
        <v>147.30000000000001</v>
      </c>
      <c r="N191" s="8">
        <v>8.6</v>
      </c>
      <c r="O191" s="8">
        <v>0.46800000000000003</v>
      </c>
      <c r="P191" s="8">
        <f>SUM(Table39[[#This Row],[Chironominae ]:[Hydrachnidia]])</f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</row>
    <row r="192" spans="1:48" x14ac:dyDescent="0.2">
      <c r="A192" s="12" t="s">
        <v>202</v>
      </c>
      <c r="B192" s="6" t="s">
        <v>54</v>
      </c>
      <c r="C192" s="6">
        <v>2</v>
      </c>
      <c r="D192" s="14">
        <v>43675</v>
      </c>
      <c r="E192" s="8">
        <v>2</v>
      </c>
      <c r="F192" s="7">
        <v>43542</v>
      </c>
      <c r="G192" s="8">
        <v>133</v>
      </c>
      <c r="H192" s="8" t="s">
        <v>111</v>
      </c>
      <c r="I192" s="8">
        <v>29.5</v>
      </c>
      <c r="J192" s="8">
        <v>147.69999999999999</v>
      </c>
      <c r="K192" s="8">
        <v>11.18</v>
      </c>
      <c r="L192" s="8">
        <v>131.19999999999999</v>
      </c>
      <c r="M192" s="8">
        <v>147.30000000000001</v>
      </c>
      <c r="N192" s="8">
        <v>8.6</v>
      </c>
      <c r="O192" s="8">
        <v>0.46800000000000003</v>
      </c>
      <c r="P192" s="8">
        <f>SUM(Table39[[#This Row],[Chironominae ]:[Hydrachnidia]])</f>
        <v>35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1</v>
      </c>
      <c r="AE192" s="4">
        <v>0</v>
      </c>
      <c r="AF192" s="4">
        <v>0</v>
      </c>
      <c r="AG192" s="4">
        <v>0</v>
      </c>
      <c r="AH192" s="4">
        <v>0</v>
      </c>
      <c r="AI192" s="4">
        <v>34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</row>
    <row r="193" spans="1:48" x14ac:dyDescent="0.2">
      <c r="A193" s="12" t="s">
        <v>203</v>
      </c>
      <c r="B193" s="6" t="s">
        <v>54</v>
      </c>
      <c r="C193" s="6">
        <v>2</v>
      </c>
      <c r="D193" s="14">
        <v>43675</v>
      </c>
      <c r="E193" s="8">
        <v>3</v>
      </c>
      <c r="F193" s="7">
        <v>43542</v>
      </c>
      <c r="G193" s="8">
        <v>133</v>
      </c>
      <c r="H193" s="8" t="s">
        <v>111</v>
      </c>
      <c r="I193" s="8">
        <v>29.5</v>
      </c>
      <c r="J193" s="8">
        <v>147.69999999999999</v>
      </c>
      <c r="K193" s="8">
        <v>11.18</v>
      </c>
      <c r="L193" s="8">
        <v>131.19999999999999</v>
      </c>
      <c r="M193" s="8">
        <v>147.30000000000001</v>
      </c>
      <c r="N193" s="8">
        <v>8.6</v>
      </c>
      <c r="O193" s="8">
        <v>0.46800000000000003</v>
      </c>
      <c r="P193" s="8">
        <f>SUM(Table39[[#This Row],[Chironominae ]:[Hydrachnidia]])</f>
        <v>112</v>
      </c>
      <c r="Q193" s="4">
        <v>35</v>
      </c>
      <c r="R193" s="4">
        <v>16</v>
      </c>
      <c r="S193" s="4">
        <v>0</v>
      </c>
      <c r="T193" s="4">
        <v>0</v>
      </c>
      <c r="U193" s="4">
        <v>0</v>
      </c>
      <c r="V193" s="4">
        <v>13</v>
      </c>
      <c r="W193" s="4">
        <v>11</v>
      </c>
      <c r="X193" s="4">
        <v>7</v>
      </c>
      <c r="Y193" s="4">
        <v>0</v>
      </c>
      <c r="Z193" s="4">
        <v>0</v>
      </c>
      <c r="AA193" s="4">
        <v>17</v>
      </c>
      <c r="AB193" s="4">
        <v>1</v>
      </c>
      <c r="AC193" s="4">
        <v>0</v>
      </c>
      <c r="AD193" s="4">
        <v>0</v>
      </c>
      <c r="AE193" s="4">
        <v>0</v>
      </c>
      <c r="AF193" s="4">
        <v>0</v>
      </c>
      <c r="AG193" s="4">
        <v>1</v>
      </c>
      <c r="AH193" s="4">
        <v>1</v>
      </c>
      <c r="AI193" s="4">
        <v>3</v>
      </c>
      <c r="AJ193" s="4">
        <v>0</v>
      </c>
      <c r="AK193" s="4">
        <v>0</v>
      </c>
      <c r="AL193" s="4">
        <v>3</v>
      </c>
      <c r="AM193" s="4">
        <v>0</v>
      </c>
      <c r="AN193" s="4">
        <v>0</v>
      </c>
      <c r="AO193" s="4">
        <v>0</v>
      </c>
      <c r="AP193" s="4">
        <v>1</v>
      </c>
      <c r="AQ193" s="4">
        <v>1</v>
      </c>
      <c r="AR193" s="4">
        <v>0</v>
      </c>
      <c r="AS193" s="4">
        <v>0</v>
      </c>
      <c r="AT193" s="4">
        <v>0</v>
      </c>
      <c r="AU193" s="4">
        <v>2</v>
      </c>
      <c r="AV193" s="4">
        <v>0</v>
      </c>
    </row>
    <row r="194" spans="1:48" x14ac:dyDescent="0.2">
      <c r="A194" s="12" t="s">
        <v>204</v>
      </c>
      <c r="B194" s="6" t="s">
        <v>54</v>
      </c>
      <c r="C194" s="6">
        <v>7</v>
      </c>
      <c r="D194" s="14">
        <v>43675</v>
      </c>
      <c r="E194" s="8">
        <v>1</v>
      </c>
      <c r="F194" s="7">
        <v>43542</v>
      </c>
      <c r="G194" s="8">
        <v>133</v>
      </c>
      <c r="H194" s="8" t="s">
        <v>111</v>
      </c>
      <c r="I194" s="8">
        <v>28.9</v>
      </c>
      <c r="J194" s="8">
        <v>75.5</v>
      </c>
      <c r="K194" s="8">
        <v>5.77</v>
      </c>
      <c r="L194" s="8">
        <v>209.1</v>
      </c>
      <c r="M194" s="8">
        <v>225.4</v>
      </c>
      <c r="N194" s="8">
        <v>7.14</v>
      </c>
      <c r="O194" s="8">
        <v>1.222</v>
      </c>
      <c r="P194" s="8">
        <f>SUM(Table39[[#This Row],[Chironominae ]:[Hydrachnidia]])</f>
        <v>7</v>
      </c>
      <c r="Q194" s="4">
        <v>0</v>
      </c>
      <c r="R194" s="4">
        <v>2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1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2</v>
      </c>
    </row>
    <row r="195" spans="1:48" x14ac:dyDescent="0.2">
      <c r="A195" s="12" t="s">
        <v>205</v>
      </c>
      <c r="B195" s="6" t="s">
        <v>54</v>
      </c>
      <c r="C195" s="6">
        <v>7</v>
      </c>
      <c r="D195" s="14">
        <v>43675</v>
      </c>
      <c r="E195" s="8">
        <v>2</v>
      </c>
      <c r="F195" s="7">
        <v>43542</v>
      </c>
      <c r="G195" s="8">
        <v>133</v>
      </c>
      <c r="H195" s="8" t="s">
        <v>111</v>
      </c>
      <c r="I195" s="8">
        <v>28.9</v>
      </c>
      <c r="J195" s="8">
        <v>75.5</v>
      </c>
      <c r="K195" s="8">
        <v>5.77</v>
      </c>
      <c r="L195" s="8">
        <v>209.1</v>
      </c>
      <c r="M195" s="8">
        <v>225.4</v>
      </c>
      <c r="N195" s="8">
        <v>7.14</v>
      </c>
      <c r="O195" s="8">
        <v>1.222</v>
      </c>
      <c r="P195" s="8">
        <f>SUM(Table39[[#This Row],[Chironominae ]:[Hydrachnidia]])</f>
        <v>37</v>
      </c>
      <c r="Q195" s="4">
        <v>16</v>
      </c>
      <c r="R195" s="4">
        <v>0</v>
      </c>
      <c r="S195" s="4">
        <v>0</v>
      </c>
      <c r="T195" s="4">
        <v>1</v>
      </c>
      <c r="U195" s="4">
        <v>0</v>
      </c>
      <c r="V195" s="4">
        <v>0</v>
      </c>
      <c r="W195" s="4">
        <v>0</v>
      </c>
      <c r="X195" s="4">
        <v>8</v>
      </c>
      <c r="Y195" s="4">
        <v>0</v>
      </c>
      <c r="Z195" s="4">
        <v>0</v>
      </c>
      <c r="AA195" s="4">
        <v>3</v>
      </c>
      <c r="AB195" s="4">
        <v>6</v>
      </c>
      <c r="AC195" s="4">
        <v>0</v>
      </c>
      <c r="AD195" s="4">
        <v>0</v>
      </c>
      <c r="AE195" s="4">
        <v>0</v>
      </c>
      <c r="AF195" s="4">
        <v>1</v>
      </c>
      <c r="AG195" s="4">
        <v>0</v>
      </c>
      <c r="AH195" s="4">
        <v>0</v>
      </c>
      <c r="AI195" s="4">
        <v>2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</row>
    <row r="196" spans="1:48" x14ac:dyDescent="0.2">
      <c r="A196" s="11" t="s">
        <v>206</v>
      </c>
      <c r="B196" s="6" t="s">
        <v>54</v>
      </c>
      <c r="C196" s="6">
        <v>7</v>
      </c>
      <c r="D196" s="14">
        <v>43675</v>
      </c>
      <c r="E196" s="8">
        <v>3</v>
      </c>
      <c r="F196" s="7">
        <v>43542</v>
      </c>
      <c r="G196" s="8">
        <v>133</v>
      </c>
      <c r="H196" s="8" t="s">
        <v>111</v>
      </c>
      <c r="I196" s="8">
        <v>28.9</v>
      </c>
      <c r="J196" s="8">
        <v>75.5</v>
      </c>
      <c r="K196" s="8">
        <v>5.77</v>
      </c>
      <c r="L196" s="8">
        <v>209.1</v>
      </c>
      <c r="M196" s="8">
        <v>225.4</v>
      </c>
      <c r="N196" s="8">
        <v>7.14</v>
      </c>
      <c r="O196" s="8">
        <v>1.222</v>
      </c>
      <c r="P196" s="8">
        <f>SUM(Table39[[#This Row],[Chironominae ]:[Hydrachnidia]])</f>
        <v>30</v>
      </c>
      <c r="Q196" s="4">
        <v>0</v>
      </c>
      <c r="R196" s="4">
        <v>3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15</v>
      </c>
      <c r="AC196" s="4">
        <v>0</v>
      </c>
      <c r="AD196" s="4">
        <v>0</v>
      </c>
      <c r="AE196" s="4">
        <v>0</v>
      </c>
      <c r="AF196" s="4">
        <v>1</v>
      </c>
      <c r="AG196" s="4">
        <v>0</v>
      </c>
      <c r="AH196" s="4">
        <v>0</v>
      </c>
      <c r="AI196" s="4">
        <v>2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9</v>
      </c>
    </row>
    <row r="197" spans="1:48" x14ac:dyDescent="0.2">
      <c r="A197" s="6" t="s">
        <v>207</v>
      </c>
      <c r="B197" s="6" t="s">
        <v>54</v>
      </c>
      <c r="C197" s="6">
        <v>10</v>
      </c>
      <c r="D197" s="7">
        <v>43675</v>
      </c>
      <c r="E197" s="8">
        <v>1</v>
      </c>
      <c r="F197" s="7">
        <v>43542</v>
      </c>
      <c r="G197" s="8">
        <v>133</v>
      </c>
      <c r="H197" s="8" t="s">
        <v>111</v>
      </c>
      <c r="I197" s="8">
        <v>30.4</v>
      </c>
      <c r="J197" s="8">
        <v>10.7</v>
      </c>
      <c r="K197" s="8">
        <v>0.78</v>
      </c>
      <c r="L197" s="8">
        <v>404.2</v>
      </c>
      <c r="M197" s="8">
        <v>460</v>
      </c>
      <c r="N197" s="8">
        <v>6.6</v>
      </c>
      <c r="O197" s="8">
        <v>1.4</v>
      </c>
      <c r="P197" s="8">
        <f>SUM(Table39[[#This Row],[Chironominae ]:[Hydrachnidia]])</f>
        <v>14</v>
      </c>
      <c r="Q197" s="4">
        <v>3</v>
      </c>
      <c r="R197" s="4">
        <v>0</v>
      </c>
      <c r="S197" s="4">
        <v>0</v>
      </c>
      <c r="T197" s="4">
        <v>0</v>
      </c>
      <c r="U197" s="4">
        <v>0</v>
      </c>
      <c r="V197" s="4">
        <v>1</v>
      </c>
      <c r="W197" s="4">
        <v>0</v>
      </c>
      <c r="X197" s="4">
        <v>1</v>
      </c>
      <c r="Y197" s="4">
        <v>0</v>
      </c>
      <c r="Z197" s="4">
        <v>0</v>
      </c>
      <c r="AA197" s="4">
        <v>0</v>
      </c>
      <c r="AB197" s="4">
        <v>3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2</v>
      </c>
      <c r="AV197" s="4">
        <v>4</v>
      </c>
    </row>
    <row r="198" spans="1:48" x14ac:dyDescent="0.2">
      <c r="A198" s="6" t="s">
        <v>208</v>
      </c>
      <c r="B198" s="6" t="s">
        <v>54</v>
      </c>
      <c r="C198" s="6">
        <v>10</v>
      </c>
      <c r="D198" s="7">
        <v>43675</v>
      </c>
      <c r="E198" s="8">
        <v>2</v>
      </c>
      <c r="F198" s="7">
        <v>43542</v>
      </c>
      <c r="G198" s="8">
        <v>133</v>
      </c>
      <c r="H198" s="8" t="s">
        <v>111</v>
      </c>
      <c r="I198" s="8">
        <v>30.4</v>
      </c>
      <c r="J198" s="8">
        <v>10.7</v>
      </c>
      <c r="K198" s="8">
        <v>0.78</v>
      </c>
      <c r="L198" s="8">
        <v>404.2</v>
      </c>
      <c r="M198" s="8">
        <v>460</v>
      </c>
      <c r="N198" s="8">
        <v>6.6</v>
      </c>
      <c r="O198" s="8">
        <v>1.4</v>
      </c>
      <c r="P198" s="8">
        <f>SUM(Table39[[#This Row],[Chironominae ]:[Hydrachnidia]])</f>
        <v>40</v>
      </c>
      <c r="Q198" s="4">
        <v>2</v>
      </c>
      <c r="R198" s="4">
        <v>2</v>
      </c>
      <c r="S198" s="4">
        <v>0</v>
      </c>
      <c r="T198" s="4">
        <v>0</v>
      </c>
      <c r="U198" s="4">
        <v>0</v>
      </c>
      <c r="V198" s="4">
        <v>2</v>
      </c>
      <c r="W198" s="4">
        <v>0</v>
      </c>
      <c r="X198" s="4">
        <v>6</v>
      </c>
      <c r="Y198" s="4">
        <v>0</v>
      </c>
      <c r="Z198" s="4">
        <v>0</v>
      </c>
      <c r="AA198" s="4">
        <v>8</v>
      </c>
      <c r="AB198" s="4">
        <v>15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5</v>
      </c>
    </row>
    <row r="199" spans="1:48" x14ac:dyDescent="0.2">
      <c r="A199" s="6"/>
      <c r="B199" s="6" t="s">
        <v>54</v>
      </c>
      <c r="C199" s="6">
        <v>10</v>
      </c>
      <c r="D199" s="7">
        <v>43675</v>
      </c>
      <c r="E199" s="8">
        <v>3</v>
      </c>
      <c r="F199" s="7">
        <v>43542</v>
      </c>
      <c r="G199" s="8">
        <v>133</v>
      </c>
      <c r="H199" s="8" t="s">
        <v>111</v>
      </c>
      <c r="I199" s="8">
        <v>30.4</v>
      </c>
      <c r="J199" s="8">
        <v>10.7</v>
      </c>
      <c r="K199" s="8">
        <v>0.78</v>
      </c>
      <c r="L199" s="8">
        <v>404.2</v>
      </c>
      <c r="M199" s="8">
        <v>460</v>
      </c>
      <c r="N199" s="8">
        <v>6.6</v>
      </c>
      <c r="O199" s="8">
        <v>1.4</v>
      </c>
      <c r="P199" s="8">
        <f>SUM(Table39[[#This Row],[Chironominae ]:[Hydrachnidia]])</f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</row>
    <row r="200" spans="1:48" x14ac:dyDescent="0.2">
      <c r="A200" s="12" t="s">
        <v>209</v>
      </c>
      <c r="B200" s="6" t="s">
        <v>54</v>
      </c>
      <c r="C200" s="6">
        <v>2</v>
      </c>
      <c r="D200" s="7">
        <v>43686</v>
      </c>
      <c r="E200" s="8">
        <v>1</v>
      </c>
      <c r="F200" s="7">
        <v>43542</v>
      </c>
      <c r="G200" s="8">
        <v>144</v>
      </c>
      <c r="H200" s="8" t="s">
        <v>111</v>
      </c>
      <c r="I200" s="8">
        <v>27.9</v>
      </c>
      <c r="J200" s="8">
        <v>974.6</v>
      </c>
      <c r="K200" s="8">
        <v>76.47</v>
      </c>
      <c r="L200" s="8">
        <v>150.4</v>
      </c>
      <c r="M200" s="8">
        <v>158.69999999999999</v>
      </c>
      <c r="N200" s="8">
        <v>158.69999999999999</v>
      </c>
      <c r="O200" s="8">
        <v>8.57</v>
      </c>
      <c r="P200" s="8">
        <f>SUM(Table39[[#This Row],[Chironominae ]:[Hydrachnidia]])</f>
        <v>136</v>
      </c>
      <c r="Q200" s="4">
        <v>2</v>
      </c>
      <c r="R200" s="4">
        <v>48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1</v>
      </c>
      <c r="Y200" s="4">
        <v>1</v>
      </c>
      <c r="Z200" s="4">
        <v>0</v>
      </c>
      <c r="AA200" s="4">
        <v>48</v>
      </c>
      <c r="AB200" s="4">
        <v>0</v>
      </c>
      <c r="AC200" s="4">
        <v>0</v>
      </c>
      <c r="AD200" s="4">
        <v>0</v>
      </c>
      <c r="AE200" s="4">
        <v>0</v>
      </c>
      <c r="AF200" s="4">
        <v>33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2</v>
      </c>
      <c r="AS200" s="4">
        <v>0</v>
      </c>
      <c r="AT200" s="4">
        <v>0</v>
      </c>
      <c r="AU200" s="4">
        <v>0</v>
      </c>
      <c r="AV200" s="4">
        <v>0</v>
      </c>
    </row>
    <row r="201" spans="1:48" x14ac:dyDescent="0.2">
      <c r="A201" s="12" t="s">
        <v>210</v>
      </c>
      <c r="B201" s="6" t="s">
        <v>54</v>
      </c>
      <c r="C201" s="8">
        <v>2</v>
      </c>
      <c r="D201" s="7">
        <v>43686</v>
      </c>
      <c r="E201" s="8">
        <v>2</v>
      </c>
      <c r="F201" s="7">
        <v>43542</v>
      </c>
      <c r="G201" s="8">
        <v>144</v>
      </c>
      <c r="H201" s="8" t="s">
        <v>111</v>
      </c>
      <c r="I201" s="8">
        <v>27.9</v>
      </c>
      <c r="J201" s="8">
        <v>974.6</v>
      </c>
      <c r="K201" s="8">
        <v>76.47</v>
      </c>
      <c r="L201" s="8">
        <v>150.4</v>
      </c>
      <c r="M201" s="8">
        <v>158.69999999999999</v>
      </c>
      <c r="N201" s="8">
        <v>158.69999999999999</v>
      </c>
      <c r="O201" s="8">
        <v>8.57</v>
      </c>
      <c r="P201" s="8">
        <f>SUM(Table39[[#This Row],[Chironominae ]:[Hydrachnidia]])</f>
        <v>32</v>
      </c>
      <c r="Q201" s="4">
        <v>1</v>
      </c>
      <c r="R201" s="4">
        <v>5</v>
      </c>
      <c r="S201" s="4">
        <v>0</v>
      </c>
      <c r="T201" s="4">
        <v>0</v>
      </c>
      <c r="U201" s="4">
        <v>0</v>
      </c>
      <c r="V201" s="4">
        <v>5</v>
      </c>
      <c r="W201" s="4">
        <v>0</v>
      </c>
      <c r="X201" s="4">
        <v>0</v>
      </c>
      <c r="Y201" s="4">
        <v>0</v>
      </c>
      <c r="Z201" s="4">
        <v>0</v>
      </c>
      <c r="AA201" s="4">
        <v>5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4</v>
      </c>
      <c r="AJ201" s="4">
        <v>0</v>
      </c>
      <c r="AK201" s="4">
        <v>0</v>
      </c>
      <c r="AL201" s="4">
        <v>7</v>
      </c>
      <c r="AM201" s="4">
        <v>0</v>
      </c>
      <c r="AN201" s="4">
        <v>0</v>
      </c>
      <c r="AO201" s="4">
        <v>0</v>
      </c>
      <c r="AP201" s="4">
        <v>1</v>
      </c>
      <c r="AQ201" s="4">
        <v>3</v>
      </c>
      <c r="AR201" s="4">
        <v>0</v>
      </c>
      <c r="AS201" s="4">
        <v>0</v>
      </c>
      <c r="AT201" s="4">
        <v>0</v>
      </c>
      <c r="AU201" s="4">
        <v>0</v>
      </c>
      <c r="AV201" s="4">
        <v>1</v>
      </c>
    </row>
    <row r="202" spans="1:48" x14ac:dyDescent="0.2">
      <c r="A202" s="12" t="s">
        <v>211</v>
      </c>
      <c r="B202" s="6" t="s">
        <v>54</v>
      </c>
      <c r="C202" s="8">
        <v>2</v>
      </c>
      <c r="D202" s="7">
        <v>43686</v>
      </c>
      <c r="E202" s="8">
        <v>3</v>
      </c>
      <c r="F202" s="7">
        <v>43542</v>
      </c>
      <c r="G202" s="8">
        <v>144</v>
      </c>
      <c r="H202" s="8" t="s">
        <v>111</v>
      </c>
      <c r="I202" s="8">
        <v>27.9</v>
      </c>
      <c r="J202" s="8">
        <v>974.6</v>
      </c>
      <c r="K202" s="8">
        <v>76.47</v>
      </c>
      <c r="L202" s="8">
        <v>150.4</v>
      </c>
      <c r="M202" s="8">
        <v>158.69999999999999</v>
      </c>
      <c r="N202" s="8">
        <v>158.69999999999999</v>
      </c>
      <c r="O202" s="8">
        <v>8.57</v>
      </c>
      <c r="P202" s="8">
        <f>SUM(Table39[[#This Row],[Chironominae ]:[Hydrachnidia]])</f>
        <v>101</v>
      </c>
      <c r="Q202" s="4">
        <v>1</v>
      </c>
      <c r="R202" s="4">
        <v>1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98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</row>
    <row r="203" spans="1:48" x14ac:dyDescent="0.2">
      <c r="A203" s="12" t="s">
        <v>212</v>
      </c>
      <c r="B203" s="6" t="s">
        <v>54</v>
      </c>
      <c r="C203" s="8">
        <v>7</v>
      </c>
      <c r="D203" s="14">
        <v>43686</v>
      </c>
      <c r="E203" s="8">
        <v>1</v>
      </c>
      <c r="F203" s="7">
        <v>43542</v>
      </c>
      <c r="G203" s="8">
        <v>144</v>
      </c>
      <c r="H203" s="8" t="s">
        <v>111</v>
      </c>
      <c r="I203" s="8">
        <v>27.6</v>
      </c>
      <c r="J203" s="8">
        <v>934</v>
      </c>
      <c r="K203" s="8">
        <v>73.540000000000006</v>
      </c>
      <c r="L203" s="8">
        <v>156.69999999999999</v>
      </c>
      <c r="M203" s="8">
        <v>164.5</v>
      </c>
      <c r="N203" s="8">
        <v>8.5299999999999994</v>
      </c>
      <c r="O203" s="8">
        <v>0.222</v>
      </c>
      <c r="P203" s="8">
        <f>SUM(Table39[[#This Row],[Chironominae ]:[Hydrachnidia]])</f>
        <v>530</v>
      </c>
      <c r="Q203" s="4">
        <v>31</v>
      </c>
      <c r="R203" s="4">
        <v>5</v>
      </c>
      <c r="S203" s="4">
        <v>0</v>
      </c>
      <c r="T203" s="4">
        <v>1</v>
      </c>
      <c r="U203" s="4">
        <v>1</v>
      </c>
      <c r="V203" s="4">
        <v>1</v>
      </c>
      <c r="W203" s="4">
        <v>0</v>
      </c>
      <c r="X203" s="4">
        <v>3</v>
      </c>
      <c r="Y203" s="4">
        <v>16</v>
      </c>
      <c r="Z203" s="4">
        <v>0</v>
      </c>
      <c r="AA203" s="4">
        <v>6</v>
      </c>
      <c r="AB203" s="4">
        <v>459</v>
      </c>
      <c r="AC203" s="4">
        <v>0</v>
      </c>
      <c r="AD203" s="4">
        <v>3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1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3</v>
      </c>
    </row>
    <row r="204" spans="1:48" x14ac:dyDescent="0.2">
      <c r="A204" s="12" t="s">
        <v>213</v>
      </c>
      <c r="B204" s="6" t="s">
        <v>54</v>
      </c>
      <c r="C204" s="8">
        <v>7</v>
      </c>
      <c r="D204" s="14">
        <v>43686</v>
      </c>
      <c r="E204" s="8">
        <v>2</v>
      </c>
      <c r="F204" s="7">
        <v>43542</v>
      </c>
      <c r="G204" s="8">
        <v>144</v>
      </c>
      <c r="H204" s="8" t="s">
        <v>111</v>
      </c>
      <c r="I204" s="8">
        <v>27.6</v>
      </c>
      <c r="J204" s="8">
        <v>934</v>
      </c>
      <c r="K204" s="8">
        <v>73.540000000000006</v>
      </c>
      <c r="L204" s="8">
        <v>156.69999999999999</v>
      </c>
      <c r="M204" s="8">
        <v>164.5</v>
      </c>
      <c r="N204" s="8">
        <v>8.5299999999999994</v>
      </c>
      <c r="O204" s="8">
        <v>0.222</v>
      </c>
      <c r="P204" s="8">
        <f>SUM(Table39[[#This Row],[Chironominae ]:[Hydrachnidia]])</f>
        <v>642</v>
      </c>
      <c r="Q204" s="4">
        <v>20</v>
      </c>
      <c r="R204" s="4">
        <v>3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4</v>
      </c>
      <c r="Y204" s="4">
        <v>2</v>
      </c>
      <c r="Z204" s="4">
        <v>0</v>
      </c>
      <c r="AA204" s="4">
        <v>4</v>
      </c>
      <c r="AB204" s="4">
        <v>603</v>
      </c>
      <c r="AC204" s="4">
        <v>0</v>
      </c>
      <c r="AD204" s="4">
        <v>1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1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4</v>
      </c>
    </row>
    <row r="205" spans="1:48" x14ac:dyDescent="0.2">
      <c r="A205" s="11" t="s">
        <v>214</v>
      </c>
      <c r="B205" s="6" t="s">
        <v>54</v>
      </c>
      <c r="C205" s="8">
        <v>7</v>
      </c>
      <c r="D205" s="14">
        <v>43686</v>
      </c>
      <c r="E205" s="8">
        <v>3</v>
      </c>
      <c r="F205" s="7">
        <v>43542</v>
      </c>
      <c r="G205" s="8">
        <v>144</v>
      </c>
      <c r="H205" s="8" t="s">
        <v>111</v>
      </c>
      <c r="I205" s="8">
        <v>27.6</v>
      </c>
      <c r="J205" s="8">
        <v>934</v>
      </c>
      <c r="K205" s="8">
        <v>73.540000000000006</v>
      </c>
      <c r="L205" s="8">
        <v>156.69999999999999</v>
      </c>
      <c r="M205" s="8">
        <v>164.5</v>
      </c>
      <c r="N205" s="8">
        <v>8.5299999999999994</v>
      </c>
      <c r="O205" s="8">
        <v>0.222</v>
      </c>
      <c r="P205" s="8">
        <f>SUM(Table39[[#This Row],[Chironominae ]:[Hydrachnidia]])</f>
        <v>626</v>
      </c>
      <c r="Q205" s="4">
        <v>7</v>
      </c>
      <c r="R205" s="4">
        <v>5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6</v>
      </c>
      <c r="Y205" s="4">
        <v>1</v>
      </c>
      <c r="Z205" s="4">
        <v>0</v>
      </c>
      <c r="AA205" s="4">
        <v>3</v>
      </c>
      <c r="AB205" s="4">
        <v>590</v>
      </c>
      <c r="AC205" s="4">
        <v>0</v>
      </c>
      <c r="AD205" s="4">
        <v>0</v>
      </c>
      <c r="AE205" s="4">
        <v>0</v>
      </c>
      <c r="AF205" s="4">
        <v>0</v>
      </c>
      <c r="AG205" s="4">
        <v>12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2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</row>
    <row r="206" spans="1:48" x14ac:dyDescent="0.2">
      <c r="A206" s="6" t="s">
        <v>215</v>
      </c>
      <c r="B206" s="6" t="s">
        <v>54</v>
      </c>
      <c r="C206" s="8">
        <v>10</v>
      </c>
      <c r="D206" s="7">
        <v>43686</v>
      </c>
      <c r="E206" s="8">
        <v>1</v>
      </c>
      <c r="F206" s="7">
        <v>43542</v>
      </c>
      <c r="G206" s="8">
        <v>144</v>
      </c>
      <c r="H206" s="8" t="s">
        <v>111</v>
      </c>
      <c r="I206" s="8" t="e">
        <v>#N/A</v>
      </c>
      <c r="J206" s="8" t="e">
        <v>#N/A</v>
      </c>
      <c r="K206" s="8" t="e">
        <v>#N/A</v>
      </c>
      <c r="L206" s="8" t="e">
        <v>#N/A</v>
      </c>
      <c r="M206" s="8" t="e">
        <v>#N/A</v>
      </c>
      <c r="N206" s="8" t="e">
        <v>#N/A</v>
      </c>
      <c r="O206" s="8" t="e">
        <v>#N/A</v>
      </c>
      <c r="P206" s="8">
        <f>SUM(Table39[[#This Row],[Chironominae ]:[Hydrachnidia]])</f>
        <v>112</v>
      </c>
      <c r="Q206" s="4">
        <v>7</v>
      </c>
      <c r="R206" s="4">
        <v>1</v>
      </c>
      <c r="S206" s="4">
        <v>0</v>
      </c>
      <c r="T206" s="4">
        <v>2</v>
      </c>
      <c r="U206" s="4">
        <v>1</v>
      </c>
      <c r="V206" s="4">
        <v>2</v>
      </c>
      <c r="W206" s="4">
        <v>0</v>
      </c>
      <c r="X206" s="4">
        <v>6</v>
      </c>
      <c r="Y206" s="4">
        <v>0</v>
      </c>
      <c r="Z206" s="4">
        <v>0</v>
      </c>
      <c r="AA206" s="4">
        <v>37</v>
      </c>
      <c r="AB206" s="4">
        <v>36</v>
      </c>
      <c r="AC206" s="4">
        <v>1</v>
      </c>
      <c r="AD206" s="4">
        <v>0</v>
      </c>
      <c r="AE206" s="4">
        <v>0</v>
      </c>
      <c r="AF206" s="4">
        <v>0</v>
      </c>
      <c r="AG206" s="4">
        <v>0</v>
      </c>
      <c r="AH206" s="4">
        <v>3</v>
      </c>
      <c r="AI206" s="4">
        <v>0</v>
      </c>
      <c r="AJ206" s="4">
        <v>0</v>
      </c>
      <c r="AK206" s="4">
        <v>2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14</v>
      </c>
    </row>
    <row r="207" spans="1:48" x14ac:dyDescent="0.2">
      <c r="A207" s="10" t="s">
        <v>216</v>
      </c>
      <c r="B207" s="6" t="s">
        <v>54</v>
      </c>
      <c r="C207" s="8">
        <v>10</v>
      </c>
      <c r="D207" s="7">
        <v>43686</v>
      </c>
      <c r="E207" s="8">
        <v>2</v>
      </c>
      <c r="F207" s="7">
        <v>43542</v>
      </c>
      <c r="G207" s="8">
        <v>144</v>
      </c>
      <c r="H207" s="8" t="s">
        <v>111</v>
      </c>
      <c r="I207" s="8" t="e">
        <v>#N/A</v>
      </c>
      <c r="J207" s="8" t="e">
        <v>#N/A</v>
      </c>
      <c r="K207" s="8" t="e">
        <v>#N/A</v>
      </c>
      <c r="L207" s="8" t="e">
        <v>#N/A</v>
      </c>
      <c r="M207" s="8" t="e">
        <v>#N/A</v>
      </c>
      <c r="N207" s="8" t="e">
        <v>#N/A</v>
      </c>
      <c r="O207" s="8" t="e">
        <v>#N/A</v>
      </c>
      <c r="P207" s="8">
        <f>SUM(Table39[[#This Row],[Chironominae ]:[Hydrachnidia]])</f>
        <v>63</v>
      </c>
      <c r="Q207" s="4">
        <v>4</v>
      </c>
      <c r="R207" s="4">
        <v>8</v>
      </c>
      <c r="S207" s="4">
        <v>0</v>
      </c>
      <c r="T207" s="4">
        <v>0</v>
      </c>
      <c r="U207" s="4">
        <v>0</v>
      </c>
      <c r="V207" s="4">
        <v>6</v>
      </c>
      <c r="W207" s="4">
        <v>0</v>
      </c>
      <c r="X207" s="4">
        <v>3</v>
      </c>
      <c r="Y207" s="4">
        <v>0</v>
      </c>
      <c r="Z207" s="4">
        <v>0</v>
      </c>
      <c r="AA207" s="4">
        <v>2</v>
      </c>
      <c r="AB207" s="4">
        <v>27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7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6</v>
      </c>
    </row>
    <row r="208" spans="1:48" x14ac:dyDescent="0.2">
      <c r="A208" s="6" t="s">
        <v>217</v>
      </c>
      <c r="B208" s="6" t="s">
        <v>54</v>
      </c>
      <c r="C208" s="8">
        <v>10</v>
      </c>
      <c r="D208" s="7">
        <v>43686</v>
      </c>
      <c r="E208" s="8">
        <v>3</v>
      </c>
      <c r="F208" s="7">
        <v>43542</v>
      </c>
      <c r="G208" s="8">
        <v>144</v>
      </c>
      <c r="H208" s="8" t="s">
        <v>111</v>
      </c>
      <c r="I208" s="8" t="e">
        <v>#N/A</v>
      </c>
      <c r="J208" s="8" t="e">
        <v>#N/A</v>
      </c>
      <c r="K208" s="8" t="e">
        <v>#N/A</v>
      </c>
      <c r="L208" s="8" t="e">
        <v>#N/A</v>
      </c>
      <c r="M208" s="8" t="e">
        <v>#N/A</v>
      </c>
      <c r="N208" s="8" t="e">
        <v>#N/A</v>
      </c>
      <c r="O208" s="8" t="e">
        <v>#N/A</v>
      </c>
      <c r="P208" s="8">
        <f>SUM(Table39[[#This Row],[Chironominae ]:[Hydrachnidia]])</f>
        <v>70</v>
      </c>
      <c r="Q208" s="4">
        <v>13</v>
      </c>
      <c r="R208" s="4">
        <v>4</v>
      </c>
      <c r="S208" s="4">
        <v>0</v>
      </c>
      <c r="T208" s="4">
        <v>0</v>
      </c>
      <c r="U208" s="4">
        <v>0</v>
      </c>
      <c r="V208" s="4">
        <v>13</v>
      </c>
      <c r="W208" s="4">
        <v>0</v>
      </c>
      <c r="X208" s="4">
        <v>2</v>
      </c>
      <c r="Y208" s="4">
        <v>0</v>
      </c>
      <c r="Z208" s="4">
        <v>20</v>
      </c>
      <c r="AA208" s="4">
        <v>2</v>
      </c>
      <c r="AB208" s="4">
        <v>3</v>
      </c>
      <c r="AC208" s="4">
        <v>4</v>
      </c>
      <c r="AD208" s="4">
        <v>0</v>
      </c>
      <c r="AE208" s="4">
        <v>0</v>
      </c>
      <c r="AF208" s="4">
        <v>0</v>
      </c>
      <c r="AG208" s="4">
        <v>0</v>
      </c>
      <c r="AH208" s="4">
        <v>4</v>
      </c>
      <c r="AI208" s="4">
        <v>0</v>
      </c>
      <c r="AJ208" s="4">
        <v>0</v>
      </c>
      <c r="AK208" s="4">
        <v>1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4</v>
      </c>
    </row>
    <row r="209" spans="1:48" x14ac:dyDescent="0.2">
      <c r="A209" s="6" t="s">
        <v>218</v>
      </c>
      <c r="B209" s="6" t="s">
        <v>54</v>
      </c>
      <c r="C209" s="8">
        <v>2</v>
      </c>
      <c r="D209" s="14">
        <v>43737</v>
      </c>
      <c r="E209" s="8">
        <v>1</v>
      </c>
      <c r="F209" s="7">
        <v>43542</v>
      </c>
      <c r="G209" s="8">
        <v>144</v>
      </c>
      <c r="H209" s="8" t="s">
        <v>111</v>
      </c>
      <c r="I209" s="8">
        <v>25.2</v>
      </c>
      <c r="J209" s="8">
        <v>783.2</v>
      </c>
      <c r="K209" s="8">
        <v>64.53</v>
      </c>
      <c r="L209" s="8">
        <v>217.3</v>
      </c>
      <c r="M209" s="8">
        <v>217.7</v>
      </c>
      <c r="N209" s="8">
        <v>7.86</v>
      </c>
      <c r="O209" s="8">
        <v>0.58099999999999996</v>
      </c>
      <c r="P209" s="8">
        <f>SUM(Table39[[#This Row],[Chironominae ]:[Hydrachnidia]])</f>
        <v>38</v>
      </c>
      <c r="Q209" s="4">
        <v>12</v>
      </c>
      <c r="R209" s="4">
        <v>4</v>
      </c>
      <c r="S209" s="4">
        <v>0</v>
      </c>
      <c r="T209" s="4">
        <v>0</v>
      </c>
      <c r="U209" s="4">
        <v>0</v>
      </c>
      <c r="V209" s="4">
        <v>3</v>
      </c>
      <c r="W209" s="4">
        <v>0</v>
      </c>
      <c r="X209" s="4">
        <v>1</v>
      </c>
      <c r="Y209" s="4">
        <v>0</v>
      </c>
      <c r="Z209" s="4">
        <v>0</v>
      </c>
      <c r="AA209" s="4">
        <v>4</v>
      </c>
      <c r="AB209" s="4">
        <v>1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8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2</v>
      </c>
      <c r="AT209" s="4">
        <v>0</v>
      </c>
      <c r="AU209" s="4">
        <v>0</v>
      </c>
      <c r="AV209" s="4">
        <v>3</v>
      </c>
    </row>
    <row r="210" spans="1:48" x14ac:dyDescent="0.2">
      <c r="A210" s="6" t="s">
        <v>219</v>
      </c>
      <c r="B210" s="6" t="s">
        <v>54</v>
      </c>
      <c r="C210" s="8">
        <v>2</v>
      </c>
      <c r="D210" s="14">
        <v>43737</v>
      </c>
      <c r="E210" s="8">
        <v>2</v>
      </c>
      <c r="F210" s="7">
        <v>43542</v>
      </c>
      <c r="G210" s="8">
        <v>144</v>
      </c>
      <c r="H210" s="8" t="s">
        <v>111</v>
      </c>
      <c r="I210" s="8">
        <v>25.2</v>
      </c>
      <c r="J210" s="8">
        <v>783.2</v>
      </c>
      <c r="K210" s="8">
        <v>64.53</v>
      </c>
      <c r="L210" s="8">
        <v>217.3</v>
      </c>
      <c r="M210" s="8">
        <v>217.7</v>
      </c>
      <c r="N210" s="8">
        <v>7.86</v>
      </c>
      <c r="O210" s="8">
        <v>0.58099999999999996</v>
      </c>
      <c r="P210" s="8">
        <f>SUM(Table39[[#This Row],[Chironominae ]:[Hydrachnidia]])</f>
        <v>3</v>
      </c>
      <c r="Q210" s="4">
        <v>0</v>
      </c>
      <c r="R210" s="4">
        <v>1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</row>
    <row r="211" spans="1:48" x14ac:dyDescent="0.2">
      <c r="A211" s="6" t="s">
        <v>220</v>
      </c>
      <c r="B211" s="6" t="s">
        <v>54</v>
      </c>
      <c r="C211" s="8">
        <v>2</v>
      </c>
      <c r="D211" s="14">
        <v>43737</v>
      </c>
      <c r="E211" s="8">
        <v>3</v>
      </c>
      <c r="F211" s="7">
        <v>43542</v>
      </c>
      <c r="G211" s="8">
        <v>144</v>
      </c>
      <c r="H211" s="8" t="s">
        <v>111</v>
      </c>
      <c r="I211" s="8">
        <v>25.2</v>
      </c>
      <c r="J211" s="8">
        <v>783.2</v>
      </c>
      <c r="K211" s="8">
        <v>64.53</v>
      </c>
      <c r="L211" s="8">
        <v>217.3</v>
      </c>
      <c r="M211" s="8">
        <v>217.7</v>
      </c>
      <c r="N211" s="8">
        <v>7.86</v>
      </c>
      <c r="O211" s="8">
        <v>0.58099999999999996</v>
      </c>
      <c r="P211" s="8">
        <f>SUM(Table39[[#This Row],[Chironominae ]:[Hydrachnidia]])</f>
        <v>13</v>
      </c>
      <c r="Q211" s="4">
        <v>7</v>
      </c>
      <c r="R211" s="4">
        <v>1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2</v>
      </c>
      <c r="Y211" s="4">
        <v>0</v>
      </c>
      <c r="Z211" s="4">
        <v>0</v>
      </c>
      <c r="AA211" s="4">
        <v>1</v>
      </c>
      <c r="AB211" s="4">
        <v>0</v>
      </c>
      <c r="AC211" s="4">
        <v>0</v>
      </c>
      <c r="AD211" s="4">
        <v>2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</row>
    <row r="212" spans="1:48" x14ac:dyDescent="0.2">
      <c r="A212" s="12" t="s">
        <v>221</v>
      </c>
      <c r="B212" s="6" t="s">
        <v>49</v>
      </c>
      <c r="C212" s="8">
        <v>5</v>
      </c>
      <c r="D212" s="14">
        <v>43737</v>
      </c>
      <c r="E212" s="8">
        <v>1</v>
      </c>
      <c r="F212" s="7">
        <v>43542</v>
      </c>
      <c r="G212" s="8">
        <v>144</v>
      </c>
      <c r="H212" s="8" t="s">
        <v>111</v>
      </c>
      <c r="I212" s="8">
        <v>24.2</v>
      </c>
      <c r="J212" s="8">
        <v>1.4</v>
      </c>
      <c r="K212" s="8">
        <v>0.83</v>
      </c>
      <c r="L212" s="8">
        <v>189.7</v>
      </c>
      <c r="M212" s="8">
        <v>186.9</v>
      </c>
      <c r="N212" s="8">
        <v>7.16</v>
      </c>
      <c r="O212" s="8">
        <v>0.36499999999999999</v>
      </c>
      <c r="P212" s="8">
        <f>SUM(Table39[[#This Row],[Chironominae ]:[Hydrachnidia]])</f>
        <v>79</v>
      </c>
      <c r="Q212" s="4">
        <v>39</v>
      </c>
      <c r="R212" s="4">
        <v>3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7</v>
      </c>
      <c r="AB212" s="4">
        <v>26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4">
        <v>0</v>
      </c>
      <c r="AJ212" s="4">
        <v>0</v>
      </c>
      <c r="AK212" s="4">
        <v>1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1</v>
      </c>
      <c r="AS212" s="4">
        <v>0</v>
      </c>
      <c r="AT212" s="4">
        <v>0</v>
      </c>
      <c r="AU212" s="4">
        <v>0</v>
      </c>
      <c r="AV212" s="4">
        <v>1</v>
      </c>
    </row>
    <row r="213" spans="1:48" x14ac:dyDescent="0.2">
      <c r="A213" s="12" t="s">
        <v>222</v>
      </c>
      <c r="B213" s="6" t="s">
        <v>49</v>
      </c>
      <c r="C213" s="8">
        <v>5</v>
      </c>
      <c r="D213" s="14">
        <v>43737</v>
      </c>
      <c r="E213" s="8">
        <v>2</v>
      </c>
      <c r="F213" s="7">
        <v>43542</v>
      </c>
      <c r="G213" s="8">
        <v>144</v>
      </c>
      <c r="H213" s="8" t="s">
        <v>111</v>
      </c>
      <c r="I213" s="8">
        <v>24.2</v>
      </c>
      <c r="J213" s="8">
        <v>1.4</v>
      </c>
      <c r="K213" s="8">
        <v>0.83</v>
      </c>
      <c r="L213" s="8">
        <v>189.7</v>
      </c>
      <c r="M213" s="8">
        <v>186.9</v>
      </c>
      <c r="N213" s="8">
        <v>7.16</v>
      </c>
      <c r="O213" s="8">
        <v>0.36499999999999999</v>
      </c>
      <c r="P213" s="8">
        <f>SUM(Table39[[#This Row],[Chironominae ]:[Hydrachnidia]])</f>
        <v>28</v>
      </c>
      <c r="Q213" s="4">
        <v>13</v>
      </c>
      <c r="R213" s="4">
        <v>7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</v>
      </c>
      <c r="AS213" s="4">
        <v>2</v>
      </c>
      <c r="AT213" s="4">
        <v>0</v>
      </c>
      <c r="AU213" s="4">
        <v>0</v>
      </c>
      <c r="AV213" s="4">
        <v>0</v>
      </c>
    </row>
    <row r="214" spans="1:48" x14ac:dyDescent="0.2">
      <c r="A214" s="12" t="s">
        <v>223</v>
      </c>
      <c r="B214" s="6" t="s">
        <v>49</v>
      </c>
      <c r="C214" s="8">
        <v>5</v>
      </c>
      <c r="D214" s="14">
        <v>43737</v>
      </c>
      <c r="E214" s="8">
        <v>3</v>
      </c>
      <c r="F214" s="7">
        <v>43542</v>
      </c>
      <c r="G214" s="8">
        <v>144</v>
      </c>
      <c r="H214" s="8" t="s">
        <v>111</v>
      </c>
      <c r="I214" s="8">
        <v>24.2</v>
      </c>
      <c r="J214" s="8">
        <v>1.4</v>
      </c>
      <c r="K214" s="8">
        <v>0.83</v>
      </c>
      <c r="L214" s="8">
        <v>189.7</v>
      </c>
      <c r="M214" s="8">
        <v>186.9</v>
      </c>
      <c r="N214" s="8">
        <v>7.16</v>
      </c>
      <c r="O214" s="8">
        <v>0.36499999999999999</v>
      </c>
      <c r="P214" s="8">
        <f>SUM(Table39[[#This Row],[Chironominae ]:[Hydrachnidia]])</f>
        <v>132</v>
      </c>
      <c r="Q214" s="4">
        <v>76</v>
      </c>
      <c r="R214" s="4">
        <v>1</v>
      </c>
      <c r="S214" s="4">
        <v>0</v>
      </c>
      <c r="T214" s="4">
        <v>1</v>
      </c>
      <c r="U214" s="4">
        <v>2</v>
      </c>
      <c r="V214" s="4">
        <v>0</v>
      </c>
      <c r="W214" s="4">
        <v>7</v>
      </c>
      <c r="X214" s="4">
        <v>0</v>
      </c>
      <c r="Y214" s="4">
        <v>0</v>
      </c>
      <c r="Z214" s="4">
        <v>0</v>
      </c>
      <c r="AA214" s="4">
        <v>42</v>
      </c>
      <c r="AB214" s="4">
        <v>0</v>
      </c>
      <c r="AC214" s="4">
        <v>1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1</v>
      </c>
      <c r="AS214" s="4">
        <v>0</v>
      </c>
      <c r="AT214" s="4">
        <v>0</v>
      </c>
      <c r="AU214" s="4">
        <v>0</v>
      </c>
      <c r="AV214" s="4">
        <v>1</v>
      </c>
    </row>
    <row r="215" spans="1:48" x14ac:dyDescent="0.2">
      <c r="A215" s="13" t="s">
        <v>224</v>
      </c>
      <c r="B215" s="6" t="s">
        <v>54</v>
      </c>
      <c r="C215" s="8">
        <v>7</v>
      </c>
      <c r="D215" s="14">
        <v>43737</v>
      </c>
      <c r="E215" s="8">
        <v>1</v>
      </c>
      <c r="F215" s="7">
        <v>43542</v>
      </c>
      <c r="G215" s="8">
        <v>144</v>
      </c>
      <c r="H215" s="8" t="s">
        <v>111</v>
      </c>
      <c r="I215" s="8">
        <v>25.7</v>
      </c>
      <c r="J215" s="8">
        <v>729.1</v>
      </c>
      <c r="K215" s="8">
        <v>64.66</v>
      </c>
      <c r="L215" s="8">
        <v>220.4</v>
      </c>
      <c r="M215" s="8">
        <v>223</v>
      </c>
      <c r="N215" s="8">
        <v>8.2899999999999991</v>
      </c>
      <c r="O215" s="8">
        <v>0.56899999999999995</v>
      </c>
      <c r="P215" s="8">
        <f>SUM(Table39[[#This Row],[Chironominae ]:[Hydrachnidia]])</f>
        <v>105</v>
      </c>
      <c r="Q215" s="4">
        <v>6</v>
      </c>
      <c r="R215" s="4">
        <v>2</v>
      </c>
      <c r="S215" s="4">
        <v>0</v>
      </c>
      <c r="T215" s="4">
        <v>1</v>
      </c>
      <c r="U215" s="4">
        <v>0</v>
      </c>
      <c r="V215" s="4">
        <v>0</v>
      </c>
      <c r="W215" s="4">
        <v>0</v>
      </c>
      <c r="X215" s="4">
        <v>41</v>
      </c>
      <c r="Y215" s="4">
        <v>1</v>
      </c>
      <c r="Z215" s="4">
        <v>0</v>
      </c>
      <c r="AA215" s="4">
        <v>9</v>
      </c>
      <c r="AB215" s="4">
        <v>44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1</v>
      </c>
      <c r="AT215" s="4">
        <v>0</v>
      </c>
      <c r="AU215" s="4">
        <v>0</v>
      </c>
      <c r="AV215" s="4">
        <v>0</v>
      </c>
    </row>
    <row r="216" spans="1:48" x14ac:dyDescent="0.2">
      <c r="A216" s="12" t="s">
        <v>225</v>
      </c>
      <c r="B216" s="6" t="s">
        <v>54</v>
      </c>
      <c r="C216" s="8">
        <v>7</v>
      </c>
      <c r="D216" s="14">
        <v>43737</v>
      </c>
      <c r="E216" s="8">
        <v>2</v>
      </c>
      <c r="F216" s="7">
        <v>43542</v>
      </c>
      <c r="G216" s="8">
        <v>144</v>
      </c>
      <c r="H216" s="8" t="s">
        <v>111</v>
      </c>
      <c r="I216" s="8">
        <v>25.7</v>
      </c>
      <c r="J216" s="8">
        <v>729.1</v>
      </c>
      <c r="K216" s="8">
        <v>64.66</v>
      </c>
      <c r="L216" s="8">
        <v>220.4</v>
      </c>
      <c r="M216" s="8">
        <v>223</v>
      </c>
      <c r="N216" s="8">
        <v>8.2899999999999991</v>
      </c>
      <c r="O216" s="8">
        <v>0.56899999999999995</v>
      </c>
      <c r="P216" s="8">
        <f>SUM(Table39[[#This Row],[Chironominae ]:[Hydrachnidia]])</f>
        <v>197</v>
      </c>
      <c r="Q216" s="4">
        <v>97</v>
      </c>
      <c r="R216" s="4">
        <v>5</v>
      </c>
      <c r="S216" s="4">
        <v>0</v>
      </c>
      <c r="T216" s="4">
        <v>3</v>
      </c>
      <c r="U216" s="4">
        <v>0</v>
      </c>
      <c r="V216" s="4">
        <v>2</v>
      </c>
      <c r="W216" s="4">
        <v>0</v>
      </c>
      <c r="X216" s="4">
        <v>30</v>
      </c>
      <c r="Y216" s="4">
        <v>1</v>
      </c>
      <c r="Z216" s="4">
        <v>0</v>
      </c>
      <c r="AA216" s="4">
        <v>5</v>
      </c>
      <c r="AB216" s="4">
        <v>51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1</v>
      </c>
      <c r="AQ216" s="4">
        <v>0</v>
      </c>
      <c r="AR216" s="4">
        <v>0</v>
      </c>
      <c r="AS216" s="4">
        <v>1</v>
      </c>
      <c r="AT216" s="4">
        <v>0</v>
      </c>
      <c r="AU216" s="4">
        <v>1</v>
      </c>
      <c r="AV216" s="4">
        <v>0</v>
      </c>
    </row>
    <row r="217" spans="1:48" x14ac:dyDescent="0.2">
      <c r="A217" s="12" t="s">
        <v>226</v>
      </c>
      <c r="B217" s="6" t="s">
        <v>54</v>
      </c>
      <c r="C217" s="8">
        <v>7</v>
      </c>
      <c r="D217" s="14">
        <v>43737</v>
      </c>
      <c r="E217" s="8">
        <v>3</v>
      </c>
      <c r="F217" s="7">
        <v>43542</v>
      </c>
      <c r="G217" s="8">
        <v>144</v>
      </c>
      <c r="H217" s="8" t="s">
        <v>111</v>
      </c>
      <c r="I217" s="8">
        <v>25.7</v>
      </c>
      <c r="J217" s="8">
        <v>729.1</v>
      </c>
      <c r="K217" s="8">
        <v>64.66</v>
      </c>
      <c r="L217" s="8">
        <v>220.4</v>
      </c>
      <c r="M217" s="8">
        <v>223</v>
      </c>
      <c r="N217" s="8">
        <v>8.2899999999999991</v>
      </c>
      <c r="O217" s="8">
        <v>0.56899999999999995</v>
      </c>
      <c r="P217" s="8">
        <f>SUM(Table39[[#This Row],[Chironominae ]:[Hydrachnidia]])</f>
        <v>111</v>
      </c>
      <c r="Q217" s="4">
        <v>6</v>
      </c>
      <c r="R217" s="4">
        <v>27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75</v>
      </c>
      <c r="Y217" s="4">
        <v>1</v>
      </c>
      <c r="Z217" s="4">
        <v>0</v>
      </c>
      <c r="AA217" s="4">
        <v>2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</row>
    <row r="218" spans="1:48" x14ac:dyDescent="0.2">
      <c r="A218" s="12" t="s">
        <v>227</v>
      </c>
      <c r="B218" s="6" t="s">
        <v>54</v>
      </c>
      <c r="C218" s="8">
        <v>10</v>
      </c>
      <c r="D218" s="7">
        <v>43737</v>
      </c>
      <c r="E218" s="8">
        <v>1</v>
      </c>
      <c r="F218" s="7">
        <v>43542</v>
      </c>
      <c r="G218" s="8">
        <v>144</v>
      </c>
      <c r="H218" s="8" t="s">
        <v>111</v>
      </c>
      <c r="I218" s="8">
        <v>27.2</v>
      </c>
      <c r="J218" s="8">
        <v>903.7</v>
      </c>
      <c r="K218" s="8">
        <v>71.73</v>
      </c>
      <c r="L218" s="8">
        <v>133</v>
      </c>
      <c r="M218" s="8">
        <v>138.5</v>
      </c>
      <c r="N218" s="8">
        <v>1.3</v>
      </c>
      <c r="O218" s="8">
        <v>0.61699999999999999</v>
      </c>
      <c r="P218" s="8">
        <f>SUM(Table39[[#This Row],[Chironominae ]:[Hydrachnidia]])</f>
        <v>78</v>
      </c>
      <c r="Q218" s="4">
        <v>3</v>
      </c>
      <c r="R218" s="4">
        <v>0</v>
      </c>
      <c r="S218" s="4">
        <v>4</v>
      </c>
      <c r="T218" s="4">
        <v>0</v>
      </c>
      <c r="U218" s="4">
        <v>0</v>
      </c>
      <c r="V218" s="4">
        <v>0</v>
      </c>
      <c r="W218" s="4">
        <v>0</v>
      </c>
      <c r="X218" s="4">
        <v>6</v>
      </c>
      <c r="Y218" s="4">
        <v>0</v>
      </c>
      <c r="Z218" s="4">
        <v>0</v>
      </c>
      <c r="AA218" s="4">
        <v>0</v>
      </c>
      <c r="AB218" s="4">
        <v>58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2</v>
      </c>
      <c r="AS218" s="4">
        <v>0</v>
      </c>
      <c r="AT218" s="4">
        <v>0</v>
      </c>
      <c r="AU218" s="4">
        <v>0</v>
      </c>
      <c r="AV218" s="4">
        <v>5</v>
      </c>
    </row>
    <row r="219" spans="1:48" x14ac:dyDescent="0.2">
      <c r="A219" s="12" t="s">
        <v>228</v>
      </c>
      <c r="B219" s="6" t="s">
        <v>54</v>
      </c>
      <c r="C219" s="8">
        <v>10</v>
      </c>
      <c r="D219" s="7">
        <v>43737</v>
      </c>
      <c r="E219" s="8">
        <v>2</v>
      </c>
      <c r="F219" s="7">
        <v>43542</v>
      </c>
      <c r="G219" s="8">
        <v>144</v>
      </c>
      <c r="H219" s="8" t="s">
        <v>111</v>
      </c>
      <c r="I219" s="8">
        <v>27.2</v>
      </c>
      <c r="J219" s="8">
        <v>903.7</v>
      </c>
      <c r="K219" s="8">
        <v>71.73</v>
      </c>
      <c r="L219" s="8">
        <v>133</v>
      </c>
      <c r="M219" s="8">
        <v>138.5</v>
      </c>
      <c r="N219" s="8">
        <v>1.3</v>
      </c>
      <c r="O219" s="8">
        <v>0.61699999999999999</v>
      </c>
      <c r="P219" s="8">
        <f>SUM(Table39[[#This Row],[Chironominae ]:[Hydrachnidia]])</f>
        <v>118</v>
      </c>
      <c r="Q219" s="4">
        <v>4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31</v>
      </c>
      <c r="Y219" s="4">
        <v>0</v>
      </c>
      <c r="Z219" s="4">
        <v>0</v>
      </c>
      <c r="AA219" s="4">
        <v>0</v>
      </c>
      <c r="AB219" s="4">
        <v>68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15</v>
      </c>
    </row>
    <row r="220" spans="1:48" x14ac:dyDescent="0.2">
      <c r="A220" s="12" t="s">
        <v>229</v>
      </c>
      <c r="B220" s="6" t="s">
        <v>54</v>
      </c>
      <c r="C220" s="8">
        <v>10</v>
      </c>
      <c r="D220" s="7">
        <v>43737</v>
      </c>
      <c r="E220" s="8">
        <v>3</v>
      </c>
      <c r="F220" s="7">
        <v>43542</v>
      </c>
      <c r="G220" s="8">
        <v>144</v>
      </c>
      <c r="H220" s="8" t="s">
        <v>111</v>
      </c>
      <c r="I220" s="8">
        <v>27.2</v>
      </c>
      <c r="J220" s="8">
        <v>903.7</v>
      </c>
      <c r="K220" s="8">
        <v>71.73</v>
      </c>
      <c r="L220" s="8">
        <v>133</v>
      </c>
      <c r="M220" s="8">
        <v>138.5</v>
      </c>
      <c r="N220" s="8">
        <v>1.3</v>
      </c>
      <c r="O220" s="8">
        <v>0.61699999999999999</v>
      </c>
      <c r="P220" s="8">
        <f>SUM(Table39[[#This Row],[Chironominae ]:[Hydrachnidia]])</f>
        <v>15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11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3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1</v>
      </c>
      <c r="AS220" s="4">
        <v>0</v>
      </c>
      <c r="AT220" s="4">
        <v>0</v>
      </c>
      <c r="AU220" s="4">
        <v>0</v>
      </c>
      <c r="AV220" s="4">
        <v>0</v>
      </c>
    </row>
    <row r="221" spans="1:48" x14ac:dyDescent="0.2">
      <c r="A221" s="10" t="s">
        <v>230</v>
      </c>
      <c r="B221" s="6" t="s">
        <v>54</v>
      </c>
      <c r="C221" s="8">
        <v>2</v>
      </c>
      <c r="D221" s="7">
        <v>43767</v>
      </c>
      <c r="E221" s="8">
        <v>1</v>
      </c>
      <c r="F221" s="7">
        <v>43542</v>
      </c>
      <c r="G221" s="8">
        <v>255</v>
      </c>
      <c r="H221" s="8" t="s">
        <v>111</v>
      </c>
      <c r="I221" s="8">
        <v>20.2</v>
      </c>
      <c r="J221" s="8">
        <v>132.80000000000001</v>
      </c>
      <c r="K221" s="8">
        <v>12.04</v>
      </c>
      <c r="L221" s="8">
        <v>238.2</v>
      </c>
      <c r="M221" s="8">
        <v>216.1</v>
      </c>
      <c r="N221" s="8">
        <v>7.34</v>
      </c>
      <c r="O221" s="8">
        <v>0.66600000000000004</v>
      </c>
      <c r="P221" s="8">
        <f>SUM(Table39[[#This Row],[Chironominae ]:[Hydrachnidia]])</f>
        <v>79</v>
      </c>
      <c r="Q221" s="4">
        <v>55</v>
      </c>
      <c r="R221" s="4">
        <v>6</v>
      </c>
      <c r="S221" s="4">
        <v>0</v>
      </c>
      <c r="T221" s="4">
        <v>0</v>
      </c>
      <c r="U221" s="4">
        <v>0</v>
      </c>
      <c r="V221" s="4">
        <v>4</v>
      </c>
      <c r="W221" s="4">
        <v>0</v>
      </c>
      <c r="X221" s="4">
        <v>2</v>
      </c>
      <c r="Y221" s="4">
        <v>0</v>
      </c>
      <c r="Z221" s="4">
        <v>0</v>
      </c>
      <c r="AA221" s="4">
        <v>6</v>
      </c>
      <c r="AB221" s="4">
        <v>5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1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</row>
    <row r="222" spans="1:48" x14ac:dyDescent="0.2">
      <c r="A222" s="6" t="s">
        <v>231</v>
      </c>
      <c r="B222" s="6" t="s">
        <v>54</v>
      </c>
      <c r="C222" s="8">
        <v>2</v>
      </c>
      <c r="D222" s="7">
        <v>43767</v>
      </c>
      <c r="E222" s="8">
        <v>2</v>
      </c>
      <c r="F222" s="7">
        <v>43542</v>
      </c>
      <c r="G222" s="8">
        <v>255</v>
      </c>
      <c r="H222" s="8" t="s">
        <v>111</v>
      </c>
      <c r="I222" s="8">
        <v>20.2</v>
      </c>
      <c r="J222" s="8">
        <v>132.80000000000001</v>
      </c>
      <c r="K222" s="8">
        <v>12.04</v>
      </c>
      <c r="L222" s="8">
        <v>238.2</v>
      </c>
      <c r="M222" s="8">
        <v>216.1</v>
      </c>
      <c r="N222" s="8">
        <v>7.34</v>
      </c>
      <c r="O222" s="8">
        <v>0.66600000000000004</v>
      </c>
      <c r="P222" s="8">
        <f>SUM(Table39[[#This Row],[Chironominae ]:[Hydrachnidia]])</f>
        <v>29</v>
      </c>
      <c r="Q222" s="4">
        <v>21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2</v>
      </c>
      <c r="Y222" s="4">
        <v>0</v>
      </c>
      <c r="Z222" s="4">
        <v>0</v>
      </c>
      <c r="AA222" s="4">
        <v>0</v>
      </c>
      <c r="AB222" s="4">
        <v>2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3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1</v>
      </c>
      <c r="AU222" s="4">
        <v>0</v>
      </c>
      <c r="AV222" s="4">
        <v>0</v>
      </c>
    </row>
    <row r="223" spans="1:48" x14ac:dyDescent="0.2">
      <c r="A223" s="6" t="s">
        <v>232</v>
      </c>
      <c r="B223" s="6" t="s">
        <v>54</v>
      </c>
      <c r="C223" s="8">
        <v>2</v>
      </c>
      <c r="D223" s="7">
        <v>43767</v>
      </c>
      <c r="E223" s="8">
        <v>3</v>
      </c>
      <c r="F223" s="7">
        <v>43542</v>
      </c>
      <c r="G223" s="8">
        <v>255</v>
      </c>
      <c r="H223" s="8" t="s">
        <v>111</v>
      </c>
      <c r="I223" s="8">
        <v>20.2</v>
      </c>
      <c r="J223" s="8">
        <v>132.80000000000001</v>
      </c>
      <c r="K223" s="8">
        <v>12.04</v>
      </c>
      <c r="L223" s="8">
        <v>238.2</v>
      </c>
      <c r="M223" s="8">
        <v>216.1</v>
      </c>
      <c r="N223" s="8">
        <v>7.34</v>
      </c>
      <c r="O223" s="8">
        <v>0.66600000000000004</v>
      </c>
      <c r="P223" s="8">
        <f>SUM(Table39[[#This Row],[Chironominae ]:[Hydrachnidia]])</f>
        <v>129</v>
      </c>
      <c r="Q223" s="4">
        <v>99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27</v>
      </c>
      <c r="AC223" s="4">
        <v>0</v>
      </c>
      <c r="AD223" s="4">
        <v>0</v>
      </c>
      <c r="AE223" s="4">
        <v>0</v>
      </c>
      <c r="AF223" s="4">
        <v>1</v>
      </c>
      <c r="AG223" s="4">
        <v>0</v>
      </c>
      <c r="AH223" s="4">
        <v>0</v>
      </c>
      <c r="AI223" s="4">
        <v>2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</row>
    <row r="224" spans="1:48" x14ac:dyDescent="0.2">
      <c r="A224" s="12" t="s">
        <v>233</v>
      </c>
      <c r="B224" s="6" t="s">
        <v>54</v>
      </c>
      <c r="C224" s="8">
        <v>7</v>
      </c>
      <c r="D224" s="14">
        <v>43767</v>
      </c>
      <c r="E224" s="8">
        <v>1</v>
      </c>
      <c r="F224" s="7">
        <v>43542</v>
      </c>
      <c r="G224" s="8">
        <v>255</v>
      </c>
      <c r="H224" s="8" t="s">
        <v>111</v>
      </c>
      <c r="I224" s="8">
        <v>20.6</v>
      </c>
      <c r="J224" s="8">
        <v>145.19999999999999</v>
      </c>
      <c r="K224" s="8">
        <v>13.04</v>
      </c>
      <c r="L224" s="8">
        <v>224.3</v>
      </c>
      <c r="M224" s="8">
        <v>205.5</v>
      </c>
      <c r="N224" s="8">
        <v>7.48</v>
      </c>
      <c r="O224" s="8">
        <v>0.82899999999999996</v>
      </c>
      <c r="P224" s="8">
        <f>SUM(Table39[[#This Row],[Chironominae ]:[Hydrachnidia]])</f>
        <v>23</v>
      </c>
      <c r="Q224" s="4">
        <v>3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6</v>
      </c>
      <c r="Y224" s="4">
        <v>3</v>
      </c>
      <c r="Z224" s="4">
        <v>0</v>
      </c>
      <c r="AA224" s="4">
        <v>5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5</v>
      </c>
    </row>
    <row r="225" spans="1:48" x14ac:dyDescent="0.2">
      <c r="A225" s="12" t="s">
        <v>234</v>
      </c>
      <c r="B225" s="6" t="s">
        <v>54</v>
      </c>
      <c r="C225" s="8">
        <v>7</v>
      </c>
      <c r="D225" s="14">
        <v>43767</v>
      </c>
      <c r="E225" s="8">
        <v>2</v>
      </c>
      <c r="F225" s="7">
        <v>43542</v>
      </c>
      <c r="G225" s="8">
        <v>255</v>
      </c>
      <c r="H225" s="8" t="s">
        <v>111</v>
      </c>
      <c r="I225" s="8">
        <v>20.6</v>
      </c>
      <c r="J225" s="8">
        <v>145.19999999999999</v>
      </c>
      <c r="K225" s="8">
        <v>13.04</v>
      </c>
      <c r="L225" s="8">
        <v>224.3</v>
      </c>
      <c r="M225" s="8">
        <v>205.5</v>
      </c>
      <c r="N225" s="8">
        <v>7.48</v>
      </c>
      <c r="O225" s="8">
        <v>0.82899999999999996</v>
      </c>
      <c r="P225" s="8">
        <f>SUM(Table39[[#This Row],[Chironominae ]:[Hydrachnidia]])</f>
        <v>122</v>
      </c>
      <c r="Q225" s="4">
        <v>11</v>
      </c>
      <c r="R225" s="4">
        <v>36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4</v>
      </c>
      <c r="Y225" s="4">
        <v>1</v>
      </c>
      <c r="Z225" s="4">
        <v>0</v>
      </c>
      <c r="AA225" s="4">
        <v>30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1</v>
      </c>
      <c r="AS225" s="4">
        <v>0</v>
      </c>
      <c r="AT225" s="4">
        <v>0</v>
      </c>
      <c r="AU225" s="4">
        <v>0</v>
      </c>
      <c r="AV225" s="4">
        <v>39</v>
      </c>
    </row>
    <row r="226" spans="1:48" x14ac:dyDescent="0.2">
      <c r="A226" s="11" t="s">
        <v>235</v>
      </c>
      <c r="B226" s="6" t="s">
        <v>54</v>
      </c>
      <c r="C226" s="8">
        <v>7</v>
      </c>
      <c r="D226" s="14">
        <v>43767</v>
      </c>
      <c r="E226" s="8">
        <v>3</v>
      </c>
      <c r="F226" s="7">
        <v>43542</v>
      </c>
      <c r="G226" s="8">
        <v>255</v>
      </c>
      <c r="H226" s="8" t="s">
        <v>111</v>
      </c>
      <c r="I226" s="8">
        <v>20.6</v>
      </c>
      <c r="J226" s="8">
        <v>145.19999999999999</v>
      </c>
      <c r="K226" s="8">
        <v>13.04</v>
      </c>
      <c r="L226" s="8">
        <v>224.3</v>
      </c>
      <c r="M226" s="8">
        <v>205.5</v>
      </c>
      <c r="N226" s="8">
        <v>7.48</v>
      </c>
      <c r="O226" s="8">
        <v>0.82899999999999996</v>
      </c>
      <c r="P226" s="8">
        <f>SUM(Table39[[#This Row],[Chironominae ]:[Hydrachnidia]])</f>
        <v>129</v>
      </c>
      <c r="Q226" s="4">
        <v>13</v>
      </c>
      <c r="R226" s="4">
        <v>57</v>
      </c>
      <c r="S226" s="4">
        <v>0</v>
      </c>
      <c r="T226" s="4">
        <v>9</v>
      </c>
      <c r="U226" s="4">
        <v>0</v>
      </c>
      <c r="V226" s="4">
        <v>1</v>
      </c>
      <c r="W226" s="4">
        <v>0</v>
      </c>
      <c r="X226" s="4">
        <v>1</v>
      </c>
      <c r="Y226" s="4">
        <v>2</v>
      </c>
      <c r="Z226" s="4">
        <v>0</v>
      </c>
      <c r="AA226" s="4">
        <v>38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3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3</v>
      </c>
      <c r="AQ226" s="4">
        <v>2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</row>
    <row r="227" spans="1:48" x14ac:dyDescent="0.2">
      <c r="A227" s="11" t="s">
        <v>236</v>
      </c>
      <c r="B227" s="6" t="s">
        <v>54</v>
      </c>
      <c r="C227" s="8">
        <v>10</v>
      </c>
      <c r="D227" s="14">
        <v>43767</v>
      </c>
      <c r="E227" s="8">
        <v>1</v>
      </c>
      <c r="F227" s="7">
        <v>43542</v>
      </c>
      <c r="G227" s="8">
        <v>255</v>
      </c>
      <c r="H227" s="8" t="s">
        <v>111</v>
      </c>
      <c r="I227" s="8">
        <v>21.1</v>
      </c>
      <c r="J227" s="8">
        <v>200.4</v>
      </c>
      <c r="K227" s="8">
        <v>17.89</v>
      </c>
      <c r="L227" s="8">
        <v>158.4</v>
      </c>
      <c r="M227" s="8">
        <v>146</v>
      </c>
      <c r="N227" s="8">
        <v>8.52</v>
      </c>
      <c r="O227" s="8">
        <v>0.78800000000000003</v>
      </c>
      <c r="P227" s="8">
        <f>SUM(Table39[[#This Row],[Chironominae ]:[Hydrachnidia]])</f>
        <v>5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5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</row>
    <row r="228" spans="1:48" x14ac:dyDescent="0.2">
      <c r="A228" s="12" t="s">
        <v>237</v>
      </c>
      <c r="B228" s="6" t="s">
        <v>54</v>
      </c>
      <c r="C228" s="8">
        <v>10</v>
      </c>
      <c r="D228" s="14">
        <v>43767</v>
      </c>
      <c r="E228" s="8">
        <v>2</v>
      </c>
      <c r="F228" s="7">
        <v>43542</v>
      </c>
      <c r="G228" s="8">
        <v>255</v>
      </c>
      <c r="H228" s="8" t="s">
        <v>111</v>
      </c>
      <c r="I228" s="8">
        <v>21.1</v>
      </c>
      <c r="J228" s="8">
        <v>200.4</v>
      </c>
      <c r="K228" s="8">
        <v>17.89</v>
      </c>
      <c r="L228" s="8">
        <v>158.4</v>
      </c>
      <c r="M228" s="8">
        <v>146</v>
      </c>
      <c r="N228" s="8">
        <v>8.52</v>
      </c>
      <c r="O228" s="8">
        <v>0.78800000000000003</v>
      </c>
      <c r="P228" s="8">
        <f>SUM(Table39[[#This Row],[Chironominae ]:[Hydrachnidia]])</f>
        <v>16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16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</row>
    <row r="229" spans="1:48" x14ac:dyDescent="0.2">
      <c r="B229" s="6" t="s">
        <v>54</v>
      </c>
      <c r="C229" s="8">
        <v>10</v>
      </c>
      <c r="D229" s="14">
        <v>43767</v>
      </c>
      <c r="E229" s="8">
        <v>3</v>
      </c>
      <c r="F229" s="7">
        <v>43542</v>
      </c>
      <c r="G229" s="8">
        <v>255</v>
      </c>
      <c r="H229" s="8" t="s">
        <v>111</v>
      </c>
      <c r="I229" s="8">
        <v>21.1</v>
      </c>
      <c r="J229" s="8">
        <v>200.4</v>
      </c>
      <c r="K229" s="8">
        <v>17.89</v>
      </c>
      <c r="L229" s="8">
        <v>158.4</v>
      </c>
      <c r="M229" s="8">
        <v>146</v>
      </c>
      <c r="N229" s="8">
        <v>8.52</v>
      </c>
      <c r="O229" s="8">
        <v>0.78800000000000003</v>
      </c>
      <c r="P229" s="8">
        <f>SUM(Table39[[#This Row],[Chironominae ]:[Hydrachnidia]])</f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</row>
    <row r="230" spans="1:48" x14ac:dyDescent="0.2">
      <c r="A230" s="12" t="s">
        <v>238</v>
      </c>
      <c r="B230" s="6" t="s">
        <v>54</v>
      </c>
      <c r="C230" s="8">
        <v>2</v>
      </c>
      <c r="D230" s="7">
        <v>43791</v>
      </c>
      <c r="E230" s="8">
        <v>1</v>
      </c>
      <c r="F230" s="7">
        <v>43542</v>
      </c>
      <c r="G230" s="8">
        <v>249</v>
      </c>
      <c r="H230" s="8" t="s">
        <v>111</v>
      </c>
      <c r="I230" s="8">
        <v>17.399999999999999</v>
      </c>
      <c r="J230" s="8">
        <v>141.6</v>
      </c>
      <c r="K230" s="8">
        <v>13.58</v>
      </c>
      <c r="L230" s="8">
        <v>227.4</v>
      </c>
      <c r="M230" s="8">
        <v>184.4</v>
      </c>
      <c r="N230" s="8">
        <v>8.07</v>
      </c>
      <c r="O230" s="8">
        <v>0.8</v>
      </c>
      <c r="P230" s="8">
        <f>SUM(Table39[[#This Row],[Chironominae ]:[Hydrachnidia]])</f>
        <v>5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2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1</v>
      </c>
      <c r="AO230" s="4">
        <v>0</v>
      </c>
      <c r="AP230" s="4">
        <v>1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1</v>
      </c>
    </row>
    <row r="231" spans="1:48" x14ac:dyDescent="0.2">
      <c r="B231" s="6" t="s">
        <v>54</v>
      </c>
      <c r="C231" s="8">
        <v>2</v>
      </c>
      <c r="D231" s="7">
        <v>43791</v>
      </c>
      <c r="E231" s="8">
        <v>2</v>
      </c>
      <c r="F231" s="7">
        <v>43542</v>
      </c>
      <c r="G231" s="8">
        <v>249</v>
      </c>
      <c r="H231" s="8" t="s">
        <v>111</v>
      </c>
      <c r="I231" s="8">
        <v>17.399999999999999</v>
      </c>
      <c r="J231" s="8">
        <v>141.6</v>
      </c>
      <c r="K231" s="8">
        <v>13.58</v>
      </c>
      <c r="L231" s="8">
        <v>227.4</v>
      </c>
      <c r="M231" s="8">
        <v>184.4</v>
      </c>
      <c r="N231" s="8">
        <v>8.07</v>
      </c>
      <c r="O231" s="8">
        <v>0.8</v>
      </c>
      <c r="P231" s="8">
        <f>SUM(Table39[[#This Row],[Chironominae ]:[Hydrachnidia]])</f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</row>
    <row r="232" spans="1:48" x14ac:dyDescent="0.2">
      <c r="A232" s="16" t="s">
        <v>239</v>
      </c>
      <c r="B232" s="6" t="s">
        <v>54</v>
      </c>
      <c r="C232" s="8">
        <v>2</v>
      </c>
      <c r="D232" s="7">
        <v>43791</v>
      </c>
      <c r="E232" s="8">
        <v>3</v>
      </c>
      <c r="F232" s="7">
        <v>43542</v>
      </c>
      <c r="G232" s="8">
        <v>249</v>
      </c>
      <c r="H232" s="8" t="s">
        <v>111</v>
      </c>
      <c r="I232" s="8">
        <v>17.399999999999999</v>
      </c>
      <c r="J232" s="8">
        <v>141.6</v>
      </c>
      <c r="K232" s="8">
        <v>13.58</v>
      </c>
      <c r="L232" s="8">
        <v>227.4</v>
      </c>
      <c r="M232" s="8">
        <v>184.4</v>
      </c>
      <c r="N232" s="8">
        <v>8.07</v>
      </c>
      <c r="O232" s="8">
        <v>0.8</v>
      </c>
      <c r="P232" s="8">
        <f>SUM(Table39[[#This Row],[Chironominae ]:[Hydrachnidia]])</f>
        <v>82</v>
      </c>
      <c r="Q232" s="4">
        <v>0</v>
      </c>
      <c r="R232" s="4">
        <v>14</v>
      </c>
      <c r="S232" s="4">
        <v>0</v>
      </c>
      <c r="T232" s="4">
        <v>1</v>
      </c>
      <c r="U232" s="4">
        <v>0</v>
      </c>
      <c r="V232" s="4">
        <v>6</v>
      </c>
      <c r="W232" s="4">
        <v>0</v>
      </c>
      <c r="X232" s="4">
        <v>2</v>
      </c>
      <c r="Y232" s="4">
        <v>0</v>
      </c>
      <c r="Z232" s="4">
        <v>0</v>
      </c>
      <c r="AA232" s="4">
        <v>14</v>
      </c>
      <c r="AB232" s="4">
        <v>14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6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1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24</v>
      </c>
    </row>
    <row r="233" spans="1:48" x14ac:dyDescent="0.2">
      <c r="A233" s="10" t="s">
        <v>240</v>
      </c>
      <c r="B233" s="6" t="s">
        <v>54</v>
      </c>
      <c r="C233" s="8">
        <v>7</v>
      </c>
      <c r="D233" s="14">
        <v>43791</v>
      </c>
      <c r="E233" s="8">
        <v>1</v>
      </c>
      <c r="F233" s="7">
        <v>43542</v>
      </c>
      <c r="G233" s="8">
        <v>249</v>
      </c>
      <c r="H233" s="8" t="s">
        <v>111</v>
      </c>
      <c r="I233" s="8">
        <v>17</v>
      </c>
      <c r="J233" s="8">
        <v>163.4</v>
      </c>
      <c r="K233" s="8">
        <v>15.8</v>
      </c>
      <c r="L233" s="8">
        <v>218.3</v>
      </c>
      <c r="M233" s="8">
        <v>184.4</v>
      </c>
      <c r="N233" s="8">
        <v>8.07</v>
      </c>
      <c r="O233" s="8">
        <v>0.8</v>
      </c>
      <c r="P233" s="8">
        <f>SUM(Table39[[#This Row],[Chironominae ]:[Hydrachnidia]])</f>
        <v>29</v>
      </c>
      <c r="Q233" s="4">
        <v>7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14</v>
      </c>
      <c r="Y233" s="4">
        <v>5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2</v>
      </c>
    </row>
    <row r="234" spans="1:48" x14ac:dyDescent="0.2">
      <c r="A234" s="10" t="s">
        <v>241</v>
      </c>
      <c r="B234" s="6" t="s">
        <v>54</v>
      </c>
      <c r="C234" s="8">
        <v>7</v>
      </c>
      <c r="D234" s="14">
        <v>43791</v>
      </c>
      <c r="E234" s="8">
        <v>2</v>
      </c>
      <c r="F234" s="7">
        <v>43542</v>
      </c>
      <c r="G234" s="8">
        <v>249</v>
      </c>
      <c r="H234" s="8" t="s">
        <v>111</v>
      </c>
      <c r="I234" s="8">
        <v>17</v>
      </c>
      <c r="J234" s="8">
        <v>163.4</v>
      </c>
      <c r="K234" s="8">
        <v>15.8</v>
      </c>
      <c r="L234" s="8">
        <v>218.3</v>
      </c>
      <c r="M234" s="8">
        <v>184.4</v>
      </c>
      <c r="N234" s="8">
        <v>8.07</v>
      </c>
      <c r="O234" s="8">
        <v>0.8</v>
      </c>
      <c r="P234" s="8">
        <f>SUM(Table39[[#This Row],[Chironominae ]:[Hydrachnidia]])</f>
        <v>265</v>
      </c>
      <c r="Q234" s="4">
        <v>12</v>
      </c>
      <c r="R234" s="4">
        <v>1</v>
      </c>
      <c r="S234" s="4">
        <v>0</v>
      </c>
      <c r="T234" s="4">
        <v>3</v>
      </c>
      <c r="U234" s="4">
        <v>0</v>
      </c>
      <c r="V234" s="4">
        <v>0</v>
      </c>
      <c r="W234" s="4">
        <v>0</v>
      </c>
      <c r="X234" s="4">
        <v>35</v>
      </c>
      <c r="Y234" s="4">
        <v>1</v>
      </c>
      <c r="Z234" s="4">
        <v>0</v>
      </c>
      <c r="AA234" s="4">
        <v>58</v>
      </c>
      <c r="AB234" s="4">
        <v>145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10</v>
      </c>
    </row>
    <row r="235" spans="1:48" x14ac:dyDescent="0.2">
      <c r="A235" s="10" t="s">
        <v>242</v>
      </c>
      <c r="B235" s="6" t="s">
        <v>54</v>
      </c>
      <c r="C235" s="8">
        <v>7</v>
      </c>
      <c r="D235" s="14">
        <v>43791</v>
      </c>
      <c r="E235" s="8">
        <v>3</v>
      </c>
      <c r="F235" s="7">
        <v>43542</v>
      </c>
      <c r="G235" s="8">
        <v>249</v>
      </c>
      <c r="H235" s="8" t="s">
        <v>111</v>
      </c>
      <c r="I235" s="8">
        <v>17</v>
      </c>
      <c r="J235" s="8">
        <v>163.4</v>
      </c>
      <c r="K235" s="8">
        <v>15.8</v>
      </c>
      <c r="L235" s="8">
        <v>218.3</v>
      </c>
      <c r="M235" s="8">
        <v>184.4</v>
      </c>
      <c r="N235" s="8">
        <v>8.07</v>
      </c>
      <c r="O235" s="8">
        <v>0.8</v>
      </c>
      <c r="P235" s="8">
        <f>SUM(Table39[[#This Row],[Chironominae ]:[Hydrachnidia]])</f>
        <v>340</v>
      </c>
      <c r="Q235" s="4">
        <v>0</v>
      </c>
      <c r="R235" s="4">
        <v>0</v>
      </c>
      <c r="S235" s="4">
        <v>0</v>
      </c>
      <c r="T235" s="4">
        <v>2</v>
      </c>
      <c r="U235" s="4">
        <v>0</v>
      </c>
      <c r="V235" s="4">
        <v>0</v>
      </c>
      <c r="W235" s="4">
        <v>0</v>
      </c>
      <c r="X235" s="4">
        <v>0</v>
      </c>
      <c r="Y235" s="4">
        <v>2</v>
      </c>
      <c r="Z235" s="4">
        <v>0</v>
      </c>
      <c r="AA235" s="4">
        <v>53</v>
      </c>
      <c r="AB235" s="4">
        <v>283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</row>
    <row r="236" spans="1:48" x14ac:dyDescent="0.2">
      <c r="A236" s="11" t="s">
        <v>243</v>
      </c>
      <c r="B236" s="6" t="s">
        <v>54</v>
      </c>
      <c r="C236" s="8">
        <v>10</v>
      </c>
      <c r="D236" s="7">
        <v>43791</v>
      </c>
      <c r="E236" s="8">
        <v>1</v>
      </c>
      <c r="F236" s="7">
        <v>43542</v>
      </c>
      <c r="G236" s="8">
        <v>249</v>
      </c>
      <c r="H236" s="8" t="s">
        <v>111</v>
      </c>
      <c r="I236" s="8">
        <v>16.600000000000001</v>
      </c>
      <c r="J236" s="8">
        <v>165</v>
      </c>
      <c r="K236" s="8">
        <v>16.09</v>
      </c>
      <c r="L236" s="8">
        <v>188.7</v>
      </c>
      <c r="M236" s="8">
        <v>158.4</v>
      </c>
      <c r="N236" s="8">
        <v>8.3000000000000007</v>
      </c>
      <c r="O236" s="8">
        <v>0.69599999999999995</v>
      </c>
      <c r="P236" s="8">
        <f>SUM(Table39[[#This Row],[Chironominae ]:[Hydrachnidia]])</f>
        <v>118</v>
      </c>
      <c r="Q236" s="4">
        <v>24</v>
      </c>
      <c r="R236" s="4">
        <v>1</v>
      </c>
      <c r="S236" s="4">
        <v>0</v>
      </c>
      <c r="T236" s="4">
        <v>73</v>
      </c>
      <c r="U236" s="4">
        <v>0</v>
      </c>
      <c r="V236" s="4">
        <v>0</v>
      </c>
      <c r="W236" s="4">
        <v>0</v>
      </c>
      <c r="X236" s="4">
        <v>4</v>
      </c>
      <c r="Y236" s="4">
        <v>0</v>
      </c>
      <c r="Z236" s="4">
        <v>0</v>
      </c>
      <c r="AA236" s="4">
        <v>1</v>
      </c>
      <c r="AB236" s="4">
        <v>1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2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12</v>
      </c>
    </row>
    <row r="237" spans="1:48" x14ac:dyDescent="0.2">
      <c r="B237" s="6" t="s">
        <v>54</v>
      </c>
      <c r="C237" s="8">
        <v>10</v>
      </c>
      <c r="D237" s="7">
        <v>43791</v>
      </c>
      <c r="E237" s="8">
        <v>2</v>
      </c>
      <c r="F237" s="7">
        <v>43542</v>
      </c>
      <c r="G237" s="8">
        <v>249</v>
      </c>
      <c r="H237" s="8" t="s">
        <v>111</v>
      </c>
      <c r="I237" s="8">
        <v>16.600000000000001</v>
      </c>
      <c r="J237" s="8">
        <v>165</v>
      </c>
      <c r="K237" s="8">
        <v>16.09</v>
      </c>
      <c r="L237" s="8">
        <v>188.7</v>
      </c>
      <c r="M237" s="8">
        <v>158.4</v>
      </c>
      <c r="N237" s="8">
        <v>8.3000000000000007</v>
      </c>
      <c r="O237" s="8">
        <v>0.69599999999999995</v>
      </c>
      <c r="P237" s="8">
        <f>SUM(Table39[[#This Row],[Chironominae ]:[Hydrachnidia]])</f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</row>
    <row r="238" spans="1:48" x14ac:dyDescent="0.2">
      <c r="A238" s="12" t="s">
        <v>244</v>
      </c>
      <c r="B238" s="6" t="s">
        <v>54</v>
      </c>
      <c r="C238" s="8">
        <v>10</v>
      </c>
      <c r="D238" s="7">
        <v>43791</v>
      </c>
      <c r="E238" s="8">
        <v>3</v>
      </c>
      <c r="F238" s="7">
        <v>43542</v>
      </c>
      <c r="G238" s="8">
        <v>249</v>
      </c>
      <c r="H238" s="8" t="s">
        <v>111</v>
      </c>
      <c r="I238" s="8">
        <v>16.600000000000001</v>
      </c>
      <c r="J238" s="8">
        <v>165</v>
      </c>
      <c r="K238" s="8">
        <v>16.09</v>
      </c>
      <c r="L238" s="8">
        <v>188.7</v>
      </c>
      <c r="M238" s="8">
        <v>158.4</v>
      </c>
      <c r="N238" s="8">
        <v>8.3000000000000007</v>
      </c>
      <c r="O238" s="8">
        <v>0.69599999999999995</v>
      </c>
      <c r="P238" s="8">
        <f>SUM(Table39[[#This Row],[Chironominae ]:[Hydrachnidia]])</f>
        <v>35</v>
      </c>
      <c r="Q238" s="4">
        <v>9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4</v>
      </c>
      <c r="Y238" s="4">
        <v>1</v>
      </c>
      <c r="Z238" s="4">
        <v>0</v>
      </c>
      <c r="AA238" s="4">
        <v>13</v>
      </c>
      <c r="AB238" s="4">
        <v>1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2</v>
      </c>
      <c r="AQ238" s="4">
        <v>1</v>
      </c>
      <c r="AR238" s="4">
        <v>0</v>
      </c>
      <c r="AS238" s="4">
        <v>0</v>
      </c>
      <c r="AT238" s="4">
        <v>0</v>
      </c>
      <c r="AU238" s="4">
        <v>0</v>
      </c>
      <c r="AV238" s="4">
        <v>4</v>
      </c>
    </row>
    <row r="239" spans="1:48" x14ac:dyDescent="0.2">
      <c r="A239" s="12" t="s">
        <v>245</v>
      </c>
      <c r="B239" s="6" t="s">
        <v>54</v>
      </c>
      <c r="C239" s="8">
        <v>2</v>
      </c>
      <c r="D239" s="7">
        <v>43815</v>
      </c>
      <c r="E239" s="8">
        <v>1</v>
      </c>
      <c r="F239" s="7">
        <v>43542</v>
      </c>
      <c r="G239" s="8">
        <v>273</v>
      </c>
      <c r="H239" s="8" t="s">
        <v>111</v>
      </c>
      <c r="I239" s="8">
        <v>14</v>
      </c>
      <c r="J239" s="8">
        <v>92.3</v>
      </c>
      <c r="K239" s="8">
        <v>9.5</v>
      </c>
      <c r="L239" s="8">
        <v>232.2</v>
      </c>
      <c r="M239" s="8">
        <v>183.5</v>
      </c>
      <c r="N239" s="8">
        <v>7.84</v>
      </c>
      <c r="O239" s="8">
        <v>0.39800000000000002</v>
      </c>
      <c r="P239" s="8">
        <f>SUM(Table39[[#This Row],[Chironominae ]:[Hydrachnidia]])</f>
        <v>64</v>
      </c>
      <c r="Q239" s="4">
        <v>0</v>
      </c>
      <c r="R239" s="4">
        <v>30</v>
      </c>
      <c r="S239" s="4">
        <v>0</v>
      </c>
      <c r="T239" s="4">
        <v>0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  <c r="Z239" s="4">
        <v>0</v>
      </c>
      <c r="AA239" s="4">
        <v>30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3</v>
      </c>
    </row>
    <row r="240" spans="1:48" x14ac:dyDescent="0.2">
      <c r="A240" s="12" t="s">
        <v>246</v>
      </c>
      <c r="B240" s="6" t="s">
        <v>54</v>
      </c>
      <c r="C240" s="8">
        <v>2</v>
      </c>
      <c r="D240" s="7">
        <v>43815</v>
      </c>
      <c r="E240" s="8">
        <v>2</v>
      </c>
      <c r="F240" s="7">
        <v>43542</v>
      </c>
      <c r="G240" s="8">
        <v>273</v>
      </c>
      <c r="H240" s="8" t="s">
        <v>111</v>
      </c>
      <c r="I240" s="8">
        <v>14</v>
      </c>
      <c r="J240" s="8">
        <v>92.3</v>
      </c>
      <c r="K240" s="8">
        <v>9.5</v>
      </c>
      <c r="L240" s="8">
        <v>232.2</v>
      </c>
      <c r="M240" s="8">
        <v>183.5</v>
      </c>
      <c r="N240" s="8">
        <v>7.84</v>
      </c>
      <c r="O240" s="8">
        <v>0.39800000000000002</v>
      </c>
      <c r="P240" s="8">
        <f>SUM(Table39[[#This Row],[Chironominae ]:[Hydrachnidia]])</f>
        <v>194</v>
      </c>
      <c r="Q240" s="4">
        <v>12</v>
      </c>
      <c r="R240" s="4">
        <v>2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3</v>
      </c>
      <c r="Y240" s="4">
        <v>0</v>
      </c>
      <c r="Z240" s="4">
        <v>0</v>
      </c>
      <c r="AA240" s="4">
        <v>2</v>
      </c>
      <c r="AB240" s="4">
        <v>2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173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</row>
    <row r="241" spans="1:48" x14ac:dyDescent="0.2">
      <c r="A241" s="11" t="s">
        <v>247</v>
      </c>
      <c r="B241" s="6" t="s">
        <v>54</v>
      </c>
      <c r="C241" s="8">
        <v>2</v>
      </c>
      <c r="D241" s="7">
        <v>43815</v>
      </c>
      <c r="E241" s="8">
        <v>3</v>
      </c>
      <c r="F241" s="7">
        <v>43542</v>
      </c>
      <c r="G241" s="8">
        <v>273</v>
      </c>
      <c r="H241" s="8" t="s">
        <v>111</v>
      </c>
      <c r="I241" s="8">
        <v>14</v>
      </c>
      <c r="J241" s="8">
        <v>92.3</v>
      </c>
      <c r="K241" s="8">
        <v>9.5</v>
      </c>
      <c r="L241" s="8">
        <v>232.2</v>
      </c>
      <c r="M241" s="8">
        <v>183.5</v>
      </c>
      <c r="N241" s="8">
        <v>7.84</v>
      </c>
      <c r="O241" s="8">
        <v>0.39800000000000002</v>
      </c>
      <c r="P241" s="8">
        <f>SUM(Table39[[#This Row],[Chironominae ]:[Hydrachnidia]])</f>
        <v>21</v>
      </c>
      <c r="Q241" s="4">
        <v>17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1</v>
      </c>
      <c r="Y241" s="4">
        <v>0</v>
      </c>
      <c r="Z241" s="4">
        <v>0</v>
      </c>
      <c r="AA241" s="4">
        <v>0</v>
      </c>
      <c r="AB241" s="4">
        <v>3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</row>
    <row r="242" spans="1:48" x14ac:dyDescent="0.2">
      <c r="A242" s="10" t="s">
        <v>248</v>
      </c>
      <c r="B242" s="6" t="s">
        <v>54</v>
      </c>
      <c r="C242" s="8">
        <v>7</v>
      </c>
      <c r="D242" s="14">
        <v>43815</v>
      </c>
      <c r="E242" s="8">
        <v>1</v>
      </c>
      <c r="F242" s="7">
        <v>43542</v>
      </c>
      <c r="G242" s="8">
        <v>273</v>
      </c>
      <c r="H242" s="8" t="s">
        <v>111</v>
      </c>
      <c r="I242" s="8">
        <v>14.3</v>
      </c>
      <c r="J242" s="8">
        <v>90.1</v>
      </c>
      <c r="K242" s="8">
        <v>8.07</v>
      </c>
      <c r="L242" s="8">
        <v>230.1</v>
      </c>
      <c r="M242" s="8">
        <v>190.1</v>
      </c>
      <c r="N242" s="8">
        <v>7.6</v>
      </c>
      <c r="O242" s="8">
        <v>0.72499999999999998</v>
      </c>
      <c r="P242" s="8">
        <f>SUM(Table39[[#This Row],[Chironominae ]:[Hydrachnidia]])</f>
        <v>289</v>
      </c>
      <c r="Q242" s="4">
        <v>123</v>
      </c>
      <c r="R242" s="4">
        <v>8</v>
      </c>
      <c r="S242" s="4">
        <v>0</v>
      </c>
      <c r="T242" s="4">
        <v>1</v>
      </c>
      <c r="U242" s="4">
        <v>0</v>
      </c>
      <c r="V242" s="4">
        <v>7</v>
      </c>
      <c r="W242" s="4">
        <v>0</v>
      </c>
      <c r="X242" s="4">
        <v>55</v>
      </c>
      <c r="Y242" s="4">
        <v>2</v>
      </c>
      <c r="Z242" s="4">
        <v>0</v>
      </c>
      <c r="AA242" s="4">
        <v>8</v>
      </c>
      <c r="AB242" s="4">
        <v>72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1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12</v>
      </c>
    </row>
    <row r="243" spans="1:48" x14ac:dyDescent="0.2">
      <c r="A243" s="10" t="s">
        <v>249</v>
      </c>
      <c r="B243" s="6" t="s">
        <v>54</v>
      </c>
      <c r="C243" s="8">
        <v>7</v>
      </c>
      <c r="D243" s="14">
        <v>43815</v>
      </c>
      <c r="E243" s="8">
        <v>2</v>
      </c>
      <c r="F243" s="7">
        <v>43542</v>
      </c>
      <c r="G243" s="8">
        <v>273</v>
      </c>
      <c r="H243" s="8" t="s">
        <v>111</v>
      </c>
      <c r="I243" s="8">
        <v>14.3</v>
      </c>
      <c r="J243" s="8">
        <v>90.1</v>
      </c>
      <c r="K243" s="8">
        <v>8.07</v>
      </c>
      <c r="L243" s="8">
        <v>230.1</v>
      </c>
      <c r="M243" s="8">
        <v>190.1</v>
      </c>
      <c r="N243" s="8">
        <v>7.6</v>
      </c>
      <c r="O243" s="8">
        <v>0.72499999999999998</v>
      </c>
      <c r="P243" s="8">
        <f>SUM(Table39[[#This Row],[Chironominae ]:[Hydrachnidia]])</f>
        <v>311</v>
      </c>
      <c r="Q243" s="4">
        <v>90</v>
      </c>
      <c r="R243" s="4">
        <v>6</v>
      </c>
      <c r="S243" s="4">
        <v>0</v>
      </c>
      <c r="T243" s="4">
        <v>52</v>
      </c>
      <c r="U243" s="4">
        <v>6</v>
      </c>
      <c r="V243" s="4">
        <v>12</v>
      </c>
      <c r="W243" s="4">
        <v>0</v>
      </c>
      <c r="X243" s="4">
        <v>57</v>
      </c>
      <c r="Y243" s="4">
        <v>2</v>
      </c>
      <c r="Z243" s="4">
        <v>0</v>
      </c>
      <c r="AA243" s="4">
        <v>7</v>
      </c>
      <c r="AB243" s="4">
        <v>66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3</v>
      </c>
      <c r="AQ243" s="4">
        <v>1</v>
      </c>
      <c r="AR243" s="4">
        <v>0</v>
      </c>
      <c r="AS243" s="4">
        <v>1</v>
      </c>
      <c r="AT243" s="4">
        <v>0</v>
      </c>
      <c r="AU243" s="4">
        <v>0</v>
      </c>
      <c r="AV243" s="4">
        <v>8</v>
      </c>
    </row>
    <row r="244" spans="1:48" x14ac:dyDescent="0.2">
      <c r="A244" s="10" t="s">
        <v>250</v>
      </c>
      <c r="B244" s="6" t="s">
        <v>54</v>
      </c>
      <c r="C244" s="8">
        <v>7</v>
      </c>
      <c r="D244" s="14">
        <v>43815</v>
      </c>
      <c r="E244" s="8">
        <v>3</v>
      </c>
      <c r="F244" s="7">
        <v>43542</v>
      </c>
      <c r="G244" s="8">
        <v>273</v>
      </c>
      <c r="H244" s="8" t="s">
        <v>111</v>
      </c>
      <c r="I244" s="8">
        <v>14.3</v>
      </c>
      <c r="J244" s="8">
        <v>90.1</v>
      </c>
      <c r="K244" s="8">
        <v>8.07</v>
      </c>
      <c r="L244" s="8">
        <v>230.1</v>
      </c>
      <c r="M244" s="8">
        <v>190.1</v>
      </c>
      <c r="N244" s="8">
        <v>7.6</v>
      </c>
      <c r="O244" s="8">
        <v>0.72499999999999998</v>
      </c>
      <c r="P244" s="8">
        <f>SUM(Table39[[#This Row],[Chironominae ]:[Hydrachnidia]])</f>
        <v>415</v>
      </c>
      <c r="Q244" s="4">
        <v>226</v>
      </c>
      <c r="R244" s="4">
        <v>8</v>
      </c>
      <c r="S244" s="4">
        <v>0</v>
      </c>
      <c r="T244" s="4">
        <v>1</v>
      </c>
      <c r="U244" s="4">
        <v>5</v>
      </c>
      <c r="V244" s="4">
        <v>7</v>
      </c>
      <c r="W244" s="4">
        <v>0</v>
      </c>
      <c r="X244" s="4">
        <v>29</v>
      </c>
      <c r="Y244" s="4">
        <v>0</v>
      </c>
      <c r="Z244" s="4">
        <v>0</v>
      </c>
      <c r="AA244" s="4">
        <v>8</v>
      </c>
      <c r="AB244" s="4">
        <v>70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2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59</v>
      </c>
    </row>
    <row r="245" spans="1:48" x14ac:dyDescent="0.2">
      <c r="A245" s="11" t="s">
        <v>251</v>
      </c>
      <c r="B245" s="6" t="s">
        <v>54</v>
      </c>
      <c r="C245" s="8">
        <v>10</v>
      </c>
      <c r="D245" s="7">
        <v>43815</v>
      </c>
      <c r="E245" s="8">
        <v>1</v>
      </c>
      <c r="F245" s="7">
        <v>43542</v>
      </c>
      <c r="G245" s="8">
        <v>273</v>
      </c>
      <c r="H245" s="8" t="s">
        <v>111</v>
      </c>
      <c r="I245" s="8">
        <v>13.9</v>
      </c>
      <c r="J245" s="8">
        <v>89.2</v>
      </c>
      <c r="K245" s="8">
        <v>9.52</v>
      </c>
      <c r="L245" s="8">
        <v>228.3</v>
      </c>
      <c r="M245" s="8">
        <v>187.3</v>
      </c>
      <c r="N245" s="8">
        <v>7.23</v>
      </c>
      <c r="O245" s="8">
        <v>0.67800000000000005</v>
      </c>
      <c r="P245" s="8">
        <f>SUM(Table39[[#This Row],[Chironominae ]:[Hydrachnidia]])</f>
        <v>79</v>
      </c>
      <c r="Q245" s="4">
        <v>19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41</v>
      </c>
      <c r="Y245" s="4">
        <v>0</v>
      </c>
      <c r="Z245" s="4">
        <v>0</v>
      </c>
      <c r="AA245" s="4">
        <v>0</v>
      </c>
      <c r="AB245" s="4">
        <v>2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17</v>
      </c>
    </row>
    <row r="246" spans="1:48" x14ac:dyDescent="0.2">
      <c r="A246" s="11" t="s">
        <v>252</v>
      </c>
      <c r="B246" s="6" t="s">
        <v>54</v>
      </c>
      <c r="C246" s="8">
        <v>10</v>
      </c>
      <c r="D246" s="7">
        <v>43815</v>
      </c>
      <c r="E246" s="8">
        <v>2</v>
      </c>
      <c r="F246" s="7">
        <v>43542</v>
      </c>
      <c r="G246" s="8">
        <v>273</v>
      </c>
      <c r="H246" s="8" t="s">
        <v>111</v>
      </c>
      <c r="I246" s="8">
        <v>13.9</v>
      </c>
      <c r="J246" s="8">
        <v>89.2</v>
      </c>
      <c r="K246" s="8">
        <v>9.52</v>
      </c>
      <c r="L246" s="8">
        <v>228.3</v>
      </c>
      <c r="M246" s="8">
        <v>187.3</v>
      </c>
      <c r="N246" s="8">
        <v>7.23</v>
      </c>
      <c r="O246" s="8">
        <v>0.67800000000000005</v>
      </c>
      <c r="P246" s="8">
        <f>SUM(Table39[[#This Row],[Chironominae ]:[Hydrachnidia]])</f>
        <v>37</v>
      </c>
      <c r="Q246" s="4">
        <v>13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8</v>
      </c>
      <c r="Y246" s="4">
        <v>0</v>
      </c>
      <c r="Z246" s="4">
        <v>0</v>
      </c>
      <c r="AA246" s="4">
        <v>0</v>
      </c>
      <c r="AB246" s="4">
        <v>1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15</v>
      </c>
    </row>
    <row r="247" spans="1:48" x14ac:dyDescent="0.2">
      <c r="A247" s="11" t="s">
        <v>253</v>
      </c>
      <c r="B247" s="6" t="s">
        <v>54</v>
      </c>
      <c r="C247" s="8">
        <v>10</v>
      </c>
      <c r="D247" s="7">
        <v>43815</v>
      </c>
      <c r="E247" s="8">
        <v>3</v>
      </c>
      <c r="F247" s="7">
        <v>43542</v>
      </c>
      <c r="G247" s="8">
        <v>273</v>
      </c>
      <c r="H247" s="8" t="s">
        <v>111</v>
      </c>
      <c r="I247" s="8">
        <v>13.9</v>
      </c>
      <c r="J247" s="8">
        <v>89.2</v>
      </c>
      <c r="K247" s="8">
        <v>9.52</v>
      </c>
      <c r="L247" s="8">
        <v>228.3</v>
      </c>
      <c r="M247" s="8">
        <v>187.3</v>
      </c>
      <c r="N247" s="8">
        <v>7.23</v>
      </c>
      <c r="O247" s="8">
        <v>0.67800000000000005</v>
      </c>
      <c r="P247" s="8">
        <f>SUM(Table39[[#This Row],[Chironominae ]:[Hydrachnidia]])</f>
        <v>23</v>
      </c>
      <c r="Q247" s="4">
        <v>2</v>
      </c>
      <c r="R247" s="4">
        <v>4</v>
      </c>
      <c r="S247" s="4">
        <v>0</v>
      </c>
      <c r="T247" s="4">
        <v>11</v>
      </c>
      <c r="U247" s="4">
        <v>0</v>
      </c>
      <c r="V247" s="4">
        <v>0</v>
      </c>
      <c r="W247" s="4">
        <v>0</v>
      </c>
      <c r="X247" s="4">
        <v>1</v>
      </c>
      <c r="Y247" s="4">
        <v>0</v>
      </c>
      <c r="Z247" s="4">
        <v>0</v>
      </c>
      <c r="AA247" s="4">
        <v>4</v>
      </c>
      <c r="AB247" s="4">
        <v>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</row>
  </sheetData>
  <pageMargins left="0.7" right="0.7" top="0.75" bottom="0.75" header="0.3" footer="0.3"/>
  <pageSetup orientation="portrait" horizontalDpi="0" verticalDpi="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Genus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Wilbanks</dc:creator>
  <cp:lastModifiedBy>Kelsey Wilbanks</cp:lastModifiedBy>
  <dcterms:created xsi:type="dcterms:W3CDTF">2026-05-28T14:58:01Z</dcterms:created>
  <dcterms:modified xsi:type="dcterms:W3CDTF">2026-05-28T14:58:28Z</dcterms:modified>
</cp:coreProperties>
</file>